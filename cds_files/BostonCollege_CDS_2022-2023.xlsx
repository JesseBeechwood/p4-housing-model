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_2022-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9"/>
    </font>
    <font>
      <name val="Arial"/>
      <color rgb="0000008B"/>
      <sz val="9"/>
    </font>
    <font>
      <name val="Arial"/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35" customWidth="1" min="3" max="3"/>
  </cols>
  <sheetData>
    <row r="1">
      <c r="A1" s="1" t="inlineStr">
        <is>
          <t>Boston College — Common Data Set 2022-2023</t>
        </is>
      </c>
    </row>
    <row r="2">
      <c r="A2" s="2" t="inlineStr">
        <is>
          <t>Variable</t>
        </is>
      </c>
      <c r="B2" s="2" t="inlineStr">
        <is>
          <t>Value</t>
        </is>
      </c>
      <c r="C2" s="2" t="inlineStr">
        <is>
          <t>Notes / Source</t>
        </is>
      </c>
    </row>
    <row r="3">
      <c r="A3" s="3" t="inlineStr">
        <is>
          <t>B — ENROLLMENT</t>
        </is>
      </c>
    </row>
    <row r="4">
      <c r="A4" s="4" t="inlineStr">
        <is>
          <t>total_undergrad (degree-seeking)</t>
        </is>
      </c>
      <c r="B4" s="5" t="n">
        <v>9484</v>
      </c>
      <c r="C4" s="6" t="inlineStr">
        <is>
          <t>B1: Men 4435 + Women 5049</t>
        </is>
      </c>
    </row>
    <row r="5">
      <c r="A5" s="4" t="inlineStr">
        <is>
          <t>total_grad</t>
        </is>
      </c>
      <c r="B5" s="5" t="n">
        <v>5250</v>
      </c>
      <c r="C5" s="6" t="inlineStr">
        <is>
          <t>B1: grad total</t>
        </is>
      </c>
    </row>
    <row r="6">
      <c r="A6" s="4" t="inlineStr">
        <is>
          <t>total_headcount</t>
        </is>
      </c>
      <c r="B6" s="5" t="n">
        <v>14734</v>
      </c>
      <c r="C6" s="6" t="inlineStr">
        <is>
          <t>B1: Grand Total</t>
        </is>
      </c>
    </row>
    <row r="7">
      <c r="A7" s="4" t="inlineStr">
        <is>
          <t>ftfy_enrolled (first-time first-year)</t>
        </is>
      </c>
      <c r="B7" s="5" t="n">
        <v>2335</v>
      </c>
      <c r="C7" s="6" t="inlineStr">
        <is>
          <t>B2 total FTFY</t>
        </is>
      </c>
    </row>
    <row r="8">
      <c r="A8" s="4" t="inlineStr">
        <is>
          <t>bach_degrees_awarded</t>
        </is>
      </c>
      <c r="B8" s="5" t="n">
        <v>2344</v>
      </c>
      <c r="C8" s="6" t="inlineStr">
        <is>
          <t>B3: bachelor's Jul 2021–Jun 2022</t>
        </is>
      </c>
    </row>
    <row r="9">
      <c r="A9" s="4" t="inlineStr">
        <is>
          <t>retention_rate</t>
        </is>
      </c>
      <c r="B9" s="5" t="n">
        <v>0.95</v>
      </c>
      <c r="C9" s="6" t="inlineStr">
        <is>
          <t>B22: 95%</t>
        </is>
      </c>
    </row>
    <row r="10">
      <c r="A10" s="4" t="inlineStr">
        <is>
          <t>grad_rate_6yr</t>
        </is>
      </c>
      <c r="B10" s="5" t="n">
        <v>0.91</v>
      </c>
      <c r="C10" s="6" t="inlineStr">
        <is>
          <t>B4-B11: 2016 cohort 91%</t>
        </is>
      </c>
    </row>
    <row r="11">
      <c r="A11" s="3" t="inlineStr">
        <is>
          <t>C — ADMISSIONS</t>
        </is>
      </c>
    </row>
    <row r="12">
      <c r="A12" s="4" t="inlineStr">
        <is>
          <t>total_applicants</t>
        </is>
      </c>
      <c r="B12" s="5" t="n">
        <v>40494</v>
      </c>
      <c r="C12" s="6" t="inlineStr">
        <is>
          <t>C1 total (men+women+ED)</t>
        </is>
      </c>
    </row>
    <row r="13">
      <c r="A13" s="4" t="inlineStr">
        <is>
          <t>total_admitted</t>
        </is>
      </c>
      <c r="B13" s="5" t="n">
        <v>6748</v>
      </c>
      <c r="C13" s="6" t="inlineStr">
        <is>
          <t>C1</t>
        </is>
      </c>
    </row>
    <row r="14">
      <c r="A14" s="4" t="inlineStr">
        <is>
          <t>admission_rate</t>
        </is>
      </c>
      <c r="B14" s="5">
        <f>B12/B11</f>
        <v/>
      </c>
      <c r="C14" s="6" t="inlineStr">
        <is>
          <t>Calculated</t>
        </is>
      </c>
    </row>
    <row r="15">
      <c r="A15" s="4" t="inlineStr">
        <is>
          <t>yield_rate</t>
        </is>
      </c>
      <c r="B15" s="5">
        <f>B5/B12</f>
        <v/>
      </c>
      <c r="C15" s="6" t="inlineStr">
        <is>
          <t>ftfy enrolled / admitted</t>
        </is>
      </c>
    </row>
    <row r="16">
      <c r="A16" s="4" t="inlineStr">
        <is>
          <t>ftfy_men_enrolled</t>
        </is>
      </c>
      <c r="B16" s="5" t="n">
        <v>1079</v>
      </c>
      <c r="C16" s="6" t="inlineStr">
        <is>
          <t>C1</t>
        </is>
      </c>
    </row>
    <row r="17">
      <c r="A17" s="4" t="inlineStr">
        <is>
          <t>ftfy_women_enrolled</t>
        </is>
      </c>
      <c r="B17" s="5" t="n">
        <v>1253</v>
      </c>
      <c r="C17" s="6" t="inlineStr">
        <is>
          <t>C1</t>
        </is>
      </c>
    </row>
    <row r="18">
      <c r="A18" s="4" t="inlineStr">
        <is>
          <t>ed_applicants</t>
        </is>
      </c>
      <c r="B18" s="5" t="n">
        <v>4428</v>
      </c>
      <c r="C18" s="6" t="inlineStr">
        <is>
          <t>C21 Early Decision apps</t>
        </is>
      </c>
    </row>
    <row r="19">
      <c r="A19" s="4" t="inlineStr">
        <is>
          <t>ed_admitted</t>
        </is>
      </c>
      <c r="B19" s="5" t="n">
        <v>1246</v>
      </c>
      <c r="C19" s="6" t="inlineStr">
        <is>
          <t>C21</t>
        </is>
      </c>
    </row>
    <row r="20">
      <c r="A20" s="4" t="inlineStr">
        <is>
          <t>waitlist_offered</t>
        </is>
      </c>
      <c r="B20" s="5" t="n">
        <v>7660</v>
      </c>
      <c r="C20" s="6" t="inlineStr">
        <is>
          <t>C2</t>
        </is>
      </c>
    </row>
    <row r="21">
      <c r="A21" s="4" t="inlineStr">
        <is>
          <t>waitlist_accepted</t>
        </is>
      </c>
      <c r="B21" s="5" t="n">
        <v>4674</v>
      </c>
      <c r="C21" s="6" t="inlineStr">
        <is>
          <t>C2</t>
        </is>
      </c>
    </row>
    <row r="22">
      <c r="A22" s="4" t="inlineStr">
        <is>
          <t>waitlist_admitted</t>
        </is>
      </c>
      <c r="B22" s="5" t="n">
        <v>55</v>
      </c>
      <c r="C22" s="6" t="inlineStr">
        <is>
          <t>C2</t>
        </is>
      </c>
    </row>
    <row r="23">
      <c r="A23" s="4" t="inlineStr">
        <is>
          <t>test_optional</t>
        </is>
      </c>
      <c r="B23" s="5" t="inlineStr">
        <is>
          <t>Yes</t>
        </is>
      </c>
      <c r="C23" s="6" t="inlineStr">
        <is>
          <t>C8: Test optional for Fall 2023</t>
        </is>
      </c>
    </row>
    <row r="24">
      <c r="A24" s="4" t="inlineStr">
        <is>
          <t>sat_25th</t>
        </is>
      </c>
      <c r="B24" s="5" t="n">
        <v>1450</v>
      </c>
      <c r="C24" s="6" t="inlineStr">
        <is>
          <t>C9</t>
        </is>
      </c>
    </row>
    <row r="25">
      <c r="A25" s="4" t="inlineStr">
        <is>
          <t>sat_75th</t>
        </is>
      </c>
      <c r="B25" s="5" t="n">
        <v>1520</v>
      </c>
      <c r="C25" s="6" t="inlineStr">
        <is>
          <t>C9</t>
        </is>
      </c>
    </row>
    <row r="26">
      <c r="A26" s="4" t="inlineStr">
        <is>
          <t>act_25th</t>
        </is>
      </c>
      <c r="B26" s="5" t="n">
        <v>33</v>
      </c>
      <c r="C26" s="6" t="inlineStr">
        <is>
          <t>C9</t>
        </is>
      </c>
    </row>
    <row r="27">
      <c r="A27" s="4" t="inlineStr">
        <is>
          <t>act_75th</t>
        </is>
      </c>
      <c r="B27" s="5" t="n">
        <v>35</v>
      </c>
      <c r="C27" s="6" t="inlineStr">
        <is>
          <t>C9</t>
        </is>
      </c>
    </row>
    <row r="28">
      <c r="A28" s="4" t="inlineStr">
        <is>
          <t>pct_top10_hs</t>
        </is>
      </c>
      <c r="B28" s="5" t="n">
        <v>0.9</v>
      </c>
      <c r="C28" s="6" t="inlineStr">
        <is>
          <t>C10: 90% top tenth</t>
        </is>
      </c>
    </row>
    <row r="29">
      <c r="A29" s="4" t="inlineStr">
        <is>
          <t>pct_top25_hs</t>
        </is>
      </c>
      <c r="B29" s="5" t="n">
        <v>0.98</v>
      </c>
      <c r="C29" s="6" t="inlineStr">
        <is>
          <t>C10: 98% top quarter</t>
        </is>
      </c>
    </row>
    <row r="30">
      <c r="A30" s="4" t="inlineStr">
        <is>
          <t>pct_submitting_sat</t>
        </is>
      </c>
      <c r="B30" s="5" t="n">
        <v>0.34</v>
      </c>
      <c r="C30" s="6" t="inlineStr">
        <is>
          <t>C9: 34%</t>
        </is>
      </c>
    </row>
    <row r="31">
      <c r="A31" s="4" t="inlineStr">
        <is>
          <t>pct_submitting_act</t>
        </is>
      </c>
      <c r="B31" s="5" t="n">
        <v>0.18</v>
      </c>
      <c r="C31" s="6" t="inlineStr">
        <is>
          <t>C9: 18%</t>
        </is>
      </c>
    </row>
    <row r="32">
      <c r="A32" s="3" t="inlineStr">
        <is>
          <t>D — TRANSFER ADMISSION</t>
        </is>
      </c>
    </row>
    <row r="33">
      <c r="A33" s="4" t="inlineStr">
        <is>
          <t>transfer_applicants</t>
        </is>
      </c>
      <c r="B33" s="5" t="n">
        <v>2405</v>
      </c>
      <c r="C33" s="6" t="inlineStr">
        <is>
          <t>D2 total</t>
        </is>
      </c>
    </row>
    <row r="34">
      <c r="A34" s="4" t="inlineStr">
        <is>
          <t>transfer_admitted</t>
        </is>
      </c>
      <c r="B34" s="5" t="n">
        <v>339</v>
      </c>
      <c r="C34" s="6" t="inlineStr">
        <is>
          <t>D2 total</t>
        </is>
      </c>
    </row>
    <row r="35">
      <c r="A35" s="4" t="inlineStr">
        <is>
          <t>transfer_enrolled</t>
        </is>
      </c>
      <c r="B35" s="5" t="n">
        <v>124</v>
      </c>
      <c r="C35" s="6" t="inlineStr">
        <is>
          <t>D2 total</t>
        </is>
      </c>
    </row>
    <row r="36">
      <c r="A36" s="3" t="inlineStr">
        <is>
          <t>F — STUDENT LIFE</t>
        </is>
      </c>
    </row>
    <row r="37">
      <c r="A37" s="4" t="inlineStr">
        <is>
          <t>pct_ftfy_on_campus</t>
        </is>
      </c>
      <c r="B37" s="5" t="n">
        <v>0.99</v>
      </c>
      <c r="C37" s="6" t="inlineStr">
        <is>
          <t>F1: 99% first-year on campus</t>
        </is>
      </c>
    </row>
    <row r="38">
      <c r="A38" s="4" t="inlineStr">
        <is>
          <t>pct_ug_on_campus</t>
        </is>
      </c>
      <c r="B38" s="5" t="n">
        <v>0.8100000000000001</v>
      </c>
      <c r="C38" s="6" t="inlineStr">
        <is>
          <t>F1: 81% undergrads on campus</t>
        </is>
      </c>
    </row>
    <row r="39">
      <c r="A39" s="4" t="inlineStr">
        <is>
          <t>pct_ug_off_campus</t>
        </is>
      </c>
      <c r="B39" s="5" t="n">
        <v>0.19</v>
      </c>
      <c r="C39" s="6" t="inlineStr">
        <is>
          <t>F1: 19% off campus / commute</t>
        </is>
      </c>
    </row>
    <row r="40">
      <c r="A40" s="4" t="inlineStr">
        <is>
          <t>pct_oos_ftfy</t>
        </is>
      </c>
      <c r="B40" s="5" t="n">
        <v>0.77</v>
      </c>
      <c r="C40" s="6" t="inlineStr">
        <is>
          <t>F1: 77% out of state first-year</t>
        </is>
      </c>
    </row>
    <row r="41">
      <c r="A41" s="4" t="inlineStr">
        <is>
          <t>pct_oos_ug</t>
        </is>
      </c>
      <c r="B41" s="5" t="n">
        <v>0.75</v>
      </c>
      <c r="C41" s="6" t="inlineStr">
        <is>
          <t>F1: 75% out of state undergrads</t>
        </is>
      </c>
    </row>
    <row r="42">
      <c r="A42" s="4" t="inlineStr">
        <is>
          <t>greek_pct_male</t>
        </is>
      </c>
      <c r="B42" s="5" t="inlineStr">
        <is>
          <t>N/A</t>
        </is>
      </c>
      <c r="C42" s="6" t="inlineStr">
        <is>
          <t>F1: No fraternities</t>
        </is>
      </c>
    </row>
    <row r="43">
      <c r="A43" s="4" t="inlineStr">
        <is>
          <t>greek_pct_female</t>
        </is>
      </c>
      <c r="B43" s="5" t="inlineStr">
        <is>
          <t>N/A</t>
        </is>
      </c>
      <c r="C43" s="6" t="inlineStr">
        <is>
          <t>F1: No sororities</t>
        </is>
      </c>
    </row>
    <row r="44">
      <c r="A44" s="4" t="inlineStr">
        <is>
          <t>pct_age_25plus</t>
        </is>
      </c>
      <c r="B44" s="5" t="n">
        <v>0</v>
      </c>
      <c r="C44" s="6" t="inlineStr">
        <is>
          <t>F1: 0% first-year; &lt;1% undergrad</t>
        </is>
      </c>
    </row>
    <row r="45">
      <c r="A45" s="4" t="inlineStr">
        <is>
          <t>avg_age_ftfy</t>
        </is>
      </c>
      <c r="B45" s="5" t="n">
        <v>18</v>
      </c>
      <c r="C45" s="6" t="inlineStr">
        <is>
          <t>F1</t>
        </is>
      </c>
    </row>
    <row r="46">
      <c r="A46" s="4" t="inlineStr">
        <is>
          <t>avg_age_ug</t>
        </is>
      </c>
      <c r="B46" s="5" t="n">
        <v>20</v>
      </c>
      <c r="C46" s="6" t="inlineStr">
        <is>
          <t>F1</t>
        </is>
      </c>
    </row>
    <row r="47">
      <c r="A47" s="3" t="inlineStr">
        <is>
          <t>G — ANNUAL EXPENSES (2023-2024 rates)</t>
        </is>
      </c>
    </row>
    <row r="48">
      <c r="A48" s="4" t="inlineStr">
        <is>
          <t>tuition_oos (private)</t>
        </is>
      </c>
      <c r="B48" s="5" t="n">
        <v>66410</v>
      </c>
      <c r="C48" s="6" t="inlineStr">
        <is>
          <t>G1: Private institution tuition</t>
        </is>
      </c>
    </row>
    <row r="49">
      <c r="A49" s="4" t="inlineStr">
        <is>
          <t>tuition_instate</t>
        </is>
      </c>
      <c r="B49" s="5" t="n">
        <v>66410</v>
      </c>
      <c r="C49" s="6" t="inlineStr">
        <is>
          <t>G1: Same — private institution</t>
        </is>
      </c>
    </row>
    <row r="50">
      <c r="A50" s="4" t="inlineStr">
        <is>
          <t>required_fees</t>
        </is>
      </c>
      <c r="B50" s="5" t="n">
        <v>1270</v>
      </c>
      <c r="C50" s="6" t="inlineStr">
        <is>
          <t>G1</t>
        </is>
      </c>
    </row>
    <row r="51">
      <c r="A51" s="4" t="inlineStr">
        <is>
          <t>on_campus_housing (room only)</t>
        </is>
      </c>
      <c r="B51" s="5" t="n">
        <v>10470</v>
      </c>
      <c r="C51" s="6" t="inlineStr">
        <is>
          <t>G1</t>
        </is>
      </c>
    </row>
    <row r="52">
      <c r="A52" s="4" t="inlineStr">
        <is>
          <t>on_campus_board</t>
        </is>
      </c>
      <c r="B52" s="5" t="n">
        <v>8005</v>
      </c>
      <c r="C52" s="6" t="inlineStr">
        <is>
          <t>G1</t>
        </is>
      </c>
    </row>
    <row r="53">
      <c r="A53" s="4" t="inlineStr">
        <is>
          <t>on_campus_fh_total</t>
        </is>
      </c>
      <c r="B53" s="5" t="n">
        <v>18475</v>
      </c>
      <c r="C53" s="6" t="inlineStr">
        <is>
          <t>G1: Room + Board</t>
        </is>
      </c>
    </row>
    <row r="54">
      <c r="A54" s="4" t="inlineStr">
        <is>
          <t>net_price (tuition+fees+room+board)</t>
        </is>
      </c>
      <c r="B54" s="5" t="n">
        <v>86155</v>
      </c>
      <c r="C54" s="6" t="inlineStr">
        <is>
          <t>G1: 66410+1270+18475</t>
        </is>
      </c>
    </row>
    <row r="55">
      <c r="A55" s="3" t="inlineStr">
        <is>
          <t>H — FINANCIAL AID (2022-2023 cohort)</t>
        </is>
      </c>
    </row>
    <row r="56">
      <c r="A56" s="4" t="inlineStr">
        <is>
          <t>pct_applied_need_aid_ftfy</t>
        </is>
      </c>
      <c r="B56" s="5">
        <f>1205/2335</f>
        <v/>
      </c>
      <c r="C56" s="6" t="inlineStr">
        <is>
          <t>H2: 1205 of 2335 applied</t>
        </is>
      </c>
    </row>
    <row r="57">
      <c r="A57" s="4" t="inlineStr">
        <is>
          <t>pct_determined_need_ftfy</t>
        </is>
      </c>
      <c r="B57" s="5">
        <f>983/2335</f>
        <v/>
      </c>
      <c r="C57" s="6" t="inlineStr">
        <is>
          <t>H2: 983 determined need</t>
        </is>
      </c>
    </row>
    <row r="58">
      <c r="A58" s="4" t="inlineStr">
        <is>
          <t>pct_need_met</t>
        </is>
      </c>
      <c r="B58" s="5" t="n">
        <v>1</v>
      </c>
      <c r="C58" s="6" t="inlineStr">
        <is>
          <t>H2-I: 100% need met</t>
        </is>
      </c>
    </row>
    <row r="59">
      <c r="A59" s="4" t="inlineStr">
        <is>
          <t>avg_aid_package</t>
        </is>
      </c>
      <c r="B59" s="5" t="n">
        <v>51623</v>
      </c>
      <c r="C59" s="6" t="inlineStr">
        <is>
          <t>H2-J: first-year</t>
        </is>
      </c>
    </row>
    <row r="60">
      <c r="A60" s="4" t="inlineStr">
        <is>
          <t>avg_need_grant</t>
        </is>
      </c>
      <c r="B60" s="5" t="n">
        <v>49872</v>
      </c>
      <c r="C60" s="6" t="inlineStr">
        <is>
          <t>H2-K: first-year</t>
        </is>
      </c>
    </row>
    <row r="61">
      <c r="A61" s="4" t="inlineStr">
        <is>
          <t>avg_need_loan (self-help)</t>
        </is>
      </c>
      <c r="B61" s="5" t="n">
        <v>4888</v>
      </c>
      <c r="C61" s="6" t="inlineStr">
        <is>
          <t>H2-L: first-year</t>
        </is>
      </c>
    </row>
    <row r="62">
      <c r="A62" s="4" t="inlineStr">
        <is>
          <t>avg_need_loan (need-based only)</t>
        </is>
      </c>
      <c r="B62" s="5" t="n">
        <v>3336</v>
      </c>
      <c r="C62" s="6" t="inlineStr">
        <is>
          <t>H2-M: first-year</t>
        </is>
      </c>
    </row>
    <row r="63">
      <c r="A63" s="4" t="inlineStr">
        <is>
          <t>pct_any_loan (grad class)</t>
        </is>
      </c>
      <c r="B63" s="5" t="n">
        <v>0.4532</v>
      </c>
      <c r="C63" s="6" t="inlineStr">
        <is>
          <t>H5-A: 45.32%</t>
        </is>
      </c>
    </row>
    <row r="64">
      <c r="A64" s="4" t="inlineStr">
        <is>
          <t>avg_debt (any loan, grad class)</t>
        </is>
      </c>
      <c r="B64" s="5" t="n">
        <v>24579</v>
      </c>
      <c r="C64" s="6" t="inlineStr">
        <is>
          <t>H5-A</t>
        </is>
      </c>
    </row>
    <row r="65">
      <c r="A65" s="4" t="inlineStr">
        <is>
          <t>avg_debt (federal only)</t>
        </is>
      </c>
      <c r="B65" s="5" t="n">
        <v>15949</v>
      </c>
      <c r="C65" s="6" t="inlineStr">
        <is>
          <t>H5-B</t>
        </is>
      </c>
    </row>
    <row r="66">
      <c r="A66" s="4" t="inlineStr">
        <is>
          <t>nonresident_aid_recipients</t>
        </is>
      </c>
      <c r="B66" s="5" t="n">
        <v>10</v>
      </c>
      <c r="C66" s="6" t="inlineStr">
        <is>
          <t>H6</t>
        </is>
      </c>
    </row>
    <row r="67">
      <c r="A67" s="4" t="inlineStr">
        <is>
          <t>avg_nonresident_aid</t>
        </is>
      </c>
      <c r="B67" s="5" t="n">
        <v>62363</v>
      </c>
      <c r="C67" s="6" t="inlineStr">
        <is>
          <t>H6</t>
        </is>
      </c>
    </row>
    <row r="68">
      <c r="A68" s="4" t="inlineStr">
        <is>
          <t>institutional_need_aid_total</t>
        </is>
      </c>
      <c r="B68" s="5" t="n">
        <v>149732791</v>
      </c>
      <c r="C68" s="6" t="inlineStr">
        <is>
          <t>H1: institutional need-based</t>
        </is>
      </c>
    </row>
    <row r="69">
      <c r="A69" s="4" t="inlineStr">
        <is>
          <t>h4_grad_class_size</t>
        </is>
      </c>
      <c r="B69" s="5" t="n">
        <v>2158</v>
      </c>
      <c r="C69" s="6" t="inlineStr">
        <is>
          <t>H4</t>
        </is>
      </c>
    </row>
    <row r="70">
      <c r="A70" s="3" t="inlineStr">
        <is>
          <t>DERIVED VARIABLES</t>
        </is>
      </c>
    </row>
    <row r="71">
      <c r="A71" s="4" t="inlineStr">
        <is>
          <t>transfer_share</t>
        </is>
      </c>
      <c r="B71" s="5">
        <f>B38/B4</f>
        <v/>
      </c>
      <c r="C71" s="6" t="inlineStr">
        <is>
          <t>transfer_enrolled / total_undergrad</t>
        </is>
      </c>
    </row>
    <row r="72">
      <c r="A72" s="4" t="inlineStr">
        <is>
          <t>ftfy_share</t>
        </is>
      </c>
      <c r="B72" s="5">
        <f>B5/B4</f>
        <v/>
      </c>
      <c r="C72" s="6" t="inlineStr">
        <is>
          <t>ftfy_enrolled / total_undergrad</t>
        </is>
      </c>
    </row>
    <row r="73">
      <c r="A73" s="4" t="inlineStr">
        <is>
          <t>grad_share</t>
        </is>
      </c>
      <c r="B73" s="5">
        <f>B3/B2</f>
        <v/>
      </c>
      <c r="C73" s="6" t="inlineStr">
        <is>
          <t>total_grad / total_headcount</t>
        </is>
      </c>
    </row>
    <row r="74">
      <c r="A74" s="4" t="inlineStr">
        <is>
          <t>off_campus_demand</t>
        </is>
      </c>
      <c r="B74" s="5">
        <f>B4*B48</f>
        <v/>
      </c>
      <c r="C74" s="6" t="inlineStr">
        <is>
          <t>total_undergrad * pct_ug_off_campus</t>
        </is>
      </c>
    </row>
    <row r="75">
      <c r="A75" s="4" t="inlineStr">
        <is>
          <t>rent_premium</t>
        </is>
      </c>
      <c r="B75" s="5" t="inlineStr">
        <is>
          <t>N/A - requires market data</t>
        </is>
      </c>
      <c r="C75" s="6" t="inlineStr">
        <is>
          <t>External data needed</t>
        </is>
      </c>
    </row>
  </sheetData>
  <mergeCells count="8">
    <mergeCell ref="A36:C36"/>
    <mergeCell ref="A11:C11"/>
    <mergeCell ref="A47:C47"/>
    <mergeCell ref="A1:C1"/>
    <mergeCell ref="A32:C32"/>
    <mergeCell ref="A70:C70"/>
    <mergeCell ref="A3:C3"/>
    <mergeCell ref="A55:C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2026-05-16T17:45:42Z</dcterms:created>
  <dcterms:modified xmlns:dcterms="http://purl.org/dc/terms/" xmlns:xsi="http://www.w3.org/2001/XMLSchema-instance" xsi:type="dcterms:W3CDTF">2026-05-16T17:45:42Z</dcterms:modified>
</cp:coreProperties>
</file>