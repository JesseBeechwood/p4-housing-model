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725"/>
  <workbookPr codeName="ThisWorkbook" defaultThemeVersion="124226"/>
  <mc:AlternateContent xmlns:mc="http://schemas.openxmlformats.org/markup-compatibility/2006">
    <mc:Choice Requires="x15">
      <x15ac:absPath xmlns:x15ac="http://schemas.microsoft.com/office/spreadsheetml/2010/11/ac" url="J:\OIRE\IR-DATA\OFFICEWEB\IRWeb\documents\Common Data Set\"/>
    </mc:Choice>
  </mc:AlternateContent>
  <xr:revisionPtr revIDLastSave="0" documentId="13_ncr:1_{841E96B0-4531-4DAA-8947-A53ECDACC82C}" xr6:coauthVersionLast="47" xr6:coauthVersionMax="47" xr10:uidLastSave="{00000000-0000-0000-0000-000000000000}"/>
  <workbookProtection workbookAlgorithmName="SHA-512" workbookHashValue="dU1dwjSb2ANguUB4kvKgtIV8Ul37f/9VcG6Gs0oCeI3zMILZftvYw1c4AOwuvS6wu+Q/1yUToc/iyFTHTO+TlQ==" workbookSaltValue="1Z5SzCq9KNXWT0a7NUc3JQ==" workbookSpinCount="100000" lockStructure="1"/>
  <bookViews>
    <workbookView xWindow="2715" yWindow="825" windowWidth="22605" windowHeight="14535" tabRatio="921" xr2:uid="{00000000-000D-0000-FFFF-FFFF00000000}"/>
  </bookViews>
  <sheets>
    <sheet name="A. General Information" sheetId="1" r:id="rId1"/>
    <sheet name="B. Enrollment and Persistence" sheetId="2" r:id="rId2"/>
    <sheet name="C.First-time Freshmen Admission" sheetId="3" r:id="rId3"/>
    <sheet name="D. Transfer Admission" sheetId="5" r:id="rId4"/>
    <sheet name="E. Academic Offerings_Policies" sheetId="4" r:id="rId5"/>
    <sheet name="F. Student Life" sheetId="6" r:id="rId6"/>
    <sheet name="G. Annual Expenses" sheetId="11" r:id="rId7"/>
    <sheet name="H. Financial Aid" sheetId="8" r:id="rId8"/>
    <sheet name="I. Instructional Faculty-Class" sheetId="9" r:id="rId9"/>
    <sheet name="J. Degrees Conferred" sheetId="10" r:id="rId10"/>
  </sheets>
  <definedNames>
    <definedName name="_xlnm.Print_Area" localSheetId="1">'B. Enrollment and Persistence'!$A$1:$F$95</definedName>
    <definedName name="_xlnm.Print_Area" localSheetId="2">'C.First-time Freshmen Admission'!$A$1:$G$290</definedName>
    <definedName name="_xlnm.Print_Area" localSheetId="3">'D. Transfer Admission'!$A$1:$G$92</definedName>
    <definedName name="_xlnm.Print_Area" localSheetId="4">'E. Academic Offerings_Policies'!$A$1:$C$48</definedName>
    <definedName name="_xlnm.Print_Area" localSheetId="5">'F. Student Life'!$A$1:$G$88</definedName>
    <definedName name="_xlnm.Print_Area" localSheetId="7">'H. Financial Aid'!$A$1:$F$190</definedName>
    <definedName name="_xlnm.Print_Area" localSheetId="8">'I. Instructional Faculty-Class'!$A$1:$K$56</definedName>
    <definedName name="_xlnm.Print_Area" localSheetId="9">'J. Degrees Conferred'!$A$1:$F$46</definedName>
    <definedName name="_xlnm.Print_Titles" localSheetId="0">'A. General Information'!$1:$1</definedName>
    <definedName name="_xlnm.Print_Titles" localSheetId="1">'B. Enrollment and Persistence'!$1:$1</definedName>
    <definedName name="_xlnm.Print_Titles" localSheetId="2">'C.First-time Freshmen Admission'!$1:$1</definedName>
    <definedName name="_xlnm.Print_Titles" localSheetId="3">'D. Transfer Admission'!$1:$1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J24" i="9" l="1"/>
  <c r="M7" i="9"/>
  <c r="M8" i="9" s="1"/>
  <c r="O7" i="9"/>
  <c r="J23" i="9"/>
  <c r="G8" i="6"/>
  <c r="F8" i="6"/>
  <c r="G5" i="6"/>
  <c r="F5" i="6"/>
  <c r="H220" i="3"/>
  <c r="H203" i="3"/>
  <c r="G7" i="6"/>
  <c r="F7" i="6"/>
  <c r="G6" i="6"/>
  <c r="F6" i="6"/>
  <c r="H93" i="2"/>
  <c r="E58" i="3"/>
  <c r="D58" i="3"/>
  <c r="M24" i="9"/>
  <c r="K7" i="9"/>
  <c r="K8" i="9"/>
  <c r="K9" i="9"/>
  <c r="K10" i="9"/>
  <c r="K11" i="9"/>
  <c r="K12" i="9"/>
  <c r="K13" i="9"/>
  <c r="K6" i="9"/>
  <c r="E23" i="11" l="1"/>
  <c r="D23" i="11"/>
  <c r="D88" i="2"/>
  <c r="F87" i="2"/>
  <c r="F86" i="2"/>
  <c r="F85" i="2"/>
  <c r="E84" i="2"/>
  <c r="D84" i="2"/>
  <c r="C84" i="2"/>
  <c r="F83" i="2"/>
  <c r="F82" i="2"/>
  <c r="C89" i="2" l="1"/>
  <c r="F88" i="2"/>
  <c r="E89" i="2"/>
  <c r="D89" i="2"/>
  <c r="F84" i="2"/>
  <c r="G46" i="10"/>
  <c r="E8" i="10" s="1"/>
  <c r="F89" i="2" l="1"/>
  <c r="E18" i="10"/>
  <c r="E22" i="10"/>
  <c r="E26" i="10"/>
  <c r="E30" i="10"/>
  <c r="E34" i="10"/>
  <c r="E38" i="10"/>
  <c r="E42" i="10"/>
  <c r="E10" i="10"/>
  <c r="E14" i="10"/>
  <c r="E15" i="10"/>
  <c r="E27" i="10"/>
  <c r="E35" i="10"/>
  <c r="E43" i="10"/>
  <c r="E16" i="10"/>
  <c r="E20" i="10"/>
  <c r="E24" i="10"/>
  <c r="E28" i="10"/>
  <c r="E32" i="10"/>
  <c r="E36" i="10"/>
  <c r="E40" i="10"/>
  <c r="E44" i="10"/>
  <c r="E12" i="10"/>
  <c r="E9" i="10"/>
  <c r="E17" i="10"/>
  <c r="E21" i="10"/>
  <c r="E25" i="10"/>
  <c r="E29" i="10"/>
  <c r="E33" i="10"/>
  <c r="E37" i="10"/>
  <c r="E41" i="10"/>
  <c r="E45" i="10"/>
  <c r="E13" i="10"/>
  <c r="E19" i="10"/>
  <c r="E23" i="10"/>
  <c r="E31" i="10"/>
  <c r="E39" i="10"/>
  <c r="E11" i="10"/>
  <c r="D185" i="3"/>
  <c r="L11" i="3"/>
  <c r="E46" i="10" l="1"/>
  <c r="E176" i="3" l="1"/>
  <c r="D176" i="3"/>
  <c r="E76" i="2"/>
  <c r="D76" i="2"/>
  <c r="C76" i="2"/>
  <c r="E72" i="2"/>
  <c r="D72" i="2"/>
  <c r="C72" i="2"/>
  <c r="F75" i="2"/>
  <c r="F74" i="2"/>
  <c r="F73" i="2"/>
  <c r="F71" i="2"/>
  <c r="F70" i="2"/>
  <c r="F76" i="2" l="1"/>
  <c r="F72" i="2"/>
  <c r="C77" i="2"/>
  <c r="D77" i="2"/>
  <c r="E77" i="2"/>
  <c r="F77" i="2"/>
  <c r="K14" i="9" l="1"/>
  <c r="K15" i="9"/>
  <c r="E24" i="8" l="1"/>
  <c r="F9" i="6" l="1"/>
  <c r="E217" i="3"/>
  <c r="J10" i="3"/>
  <c r="K10" i="3"/>
  <c r="M11" i="3"/>
  <c r="C101" i="2"/>
  <c r="F104" i="2"/>
  <c r="F103" i="2"/>
  <c r="F102" i="2"/>
  <c r="E101" i="2"/>
  <c r="D101" i="2"/>
  <c r="D106" i="2" s="1"/>
  <c r="F100" i="2"/>
  <c r="F99" i="2"/>
  <c r="E52" i="2"/>
  <c r="C53" i="2"/>
  <c r="C12" i="2"/>
  <c r="C14" i="2" s="1"/>
  <c r="G23" i="9"/>
  <c r="L9" i="2"/>
  <c r="H9" i="2"/>
  <c r="M18" i="2"/>
  <c r="L18" i="2"/>
  <c r="I18" i="2"/>
  <c r="H18" i="2"/>
  <c r="M17" i="2"/>
  <c r="L17" i="2"/>
  <c r="I17" i="2"/>
  <c r="H17" i="2"/>
  <c r="M16" i="2"/>
  <c r="L16" i="2"/>
  <c r="I16" i="2"/>
  <c r="H16" i="2"/>
  <c r="M13" i="2"/>
  <c r="L13" i="2"/>
  <c r="I13" i="2"/>
  <c r="H13" i="2"/>
  <c r="M11" i="2"/>
  <c r="L11" i="2"/>
  <c r="I11" i="2"/>
  <c r="H11" i="2"/>
  <c r="M10" i="2"/>
  <c r="L10" i="2"/>
  <c r="I10" i="2"/>
  <c r="H10" i="2"/>
  <c r="M9" i="2"/>
  <c r="I9" i="2"/>
  <c r="F194" i="3"/>
  <c r="E194" i="3"/>
  <c r="D194" i="3"/>
  <c r="C19" i="2"/>
  <c r="D19" i="2"/>
  <c r="E19" i="2"/>
  <c r="F19" i="2"/>
  <c r="F12" i="2"/>
  <c r="F14" i="2" s="1"/>
  <c r="E12" i="2"/>
  <c r="E14" i="2" s="1"/>
  <c r="D12" i="2"/>
  <c r="D14" i="2" s="1"/>
  <c r="F39" i="2"/>
  <c r="E39" i="2"/>
  <c r="D39" i="2"/>
  <c r="F12" i="5"/>
  <c r="E12" i="5"/>
  <c r="D12" i="5"/>
  <c r="E29" i="8"/>
  <c r="F29" i="8"/>
  <c r="F24" i="8"/>
  <c r="K52" i="9"/>
  <c r="K49" i="9"/>
  <c r="K21" i="2" l="1"/>
  <c r="C21" i="2"/>
  <c r="H21" i="2"/>
  <c r="G9" i="6"/>
  <c r="J21" i="2"/>
  <c r="E21" i="2"/>
  <c r="I21" i="2"/>
  <c r="D21" i="2"/>
  <c r="J9" i="2"/>
  <c r="N11" i="3"/>
  <c r="C106" i="2"/>
  <c r="F105" i="2"/>
  <c r="F101" i="2"/>
  <c r="E106" i="2"/>
  <c r="J18" i="2"/>
  <c r="H19" i="2"/>
  <c r="L19" i="2"/>
  <c r="J17" i="2"/>
  <c r="I19" i="2"/>
  <c r="D20" i="2"/>
  <c r="M19" i="2"/>
  <c r="F20" i="2"/>
  <c r="F22" i="2"/>
  <c r="J16" i="2"/>
  <c r="J13" i="2"/>
  <c r="J11" i="2"/>
  <c r="L12" i="2"/>
  <c r="J10" i="2"/>
  <c r="I14" i="2"/>
  <c r="I12" i="2"/>
  <c r="E20" i="2"/>
  <c r="M14" i="2"/>
  <c r="M12" i="2"/>
  <c r="H14" i="2"/>
  <c r="F21" i="2"/>
  <c r="C20" i="2"/>
  <c r="L14" i="2"/>
  <c r="H12" i="2"/>
  <c r="C158" i="3" l="1"/>
  <c r="C157" i="3"/>
  <c r="J12" i="2"/>
  <c r="L21" i="2"/>
  <c r="F23" i="2"/>
  <c r="F106" i="2"/>
  <c r="J19" i="2"/>
  <c r="J14" i="2"/>
</calcChain>
</file>

<file path=xl/sharedStrings.xml><?xml version="1.0" encoding="utf-8"?>
<sst xmlns="http://schemas.openxmlformats.org/spreadsheetml/2006/main" count="1327" uniqueCount="990">
  <si>
    <t>Black or African American, non-Hispanic</t>
  </si>
  <si>
    <t>American Indian or Alaska Native, non-Hispanic</t>
  </si>
  <si>
    <t>Asian, non-Hispanic</t>
  </si>
  <si>
    <t>Native Hawaiian or other Pacific Islander, non-Hispanic</t>
  </si>
  <si>
    <t>Two or more races, non-Hispanic</t>
  </si>
  <si>
    <t>Race and/or ethnicity unknown</t>
  </si>
  <si>
    <t>Please indicate which tests your institution uses for placement (e.g., state tests):</t>
  </si>
  <si>
    <t>SAT</t>
  </si>
  <si>
    <t>AP</t>
  </si>
  <si>
    <t>CLEP</t>
  </si>
  <si>
    <t>Institutional Exam</t>
  </si>
  <si>
    <t>State Exam (specify):</t>
  </si>
  <si>
    <t>Percent who had GPA between 3.50 and 3.74</t>
  </si>
  <si>
    <t>Percent who had GPA between 3.25 and 3.49</t>
  </si>
  <si>
    <t>Percent who had GPA between 3.00 and 3.24</t>
  </si>
  <si>
    <t>Percent who had GPA between 2.50 and 2.99</t>
  </si>
  <si>
    <t>Percent who had GPA between 2.0 and 2.49</t>
  </si>
  <si>
    <t>If you have an application fee and an on-line application option, please indicate policy for students who apply on-line:</t>
  </si>
  <si>
    <t>Can on-line application fee be waived for applicants with financial need?</t>
  </si>
  <si>
    <t>Are first-time, first-year students accepted for terms other than the fall?</t>
  </si>
  <si>
    <t>Refundable if student does not enroll?</t>
  </si>
  <si>
    <t xml:space="preserve">Do you have a nonbinding early action plan whereby students are notified of an admission decision well in advance of the regular notification date but do not have to commit to attending your college? </t>
  </si>
  <si>
    <t>Exchange student program (domestic)</t>
  </si>
  <si>
    <t>External degree program</t>
  </si>
  <si>
    <t>Honors Program</t>
  </si>
  <si>
    <t>Independent study</t>
  </si>
  <si>
    <t>Internships</t>
  </si>
  <si>
    <t>Liberal arts/career combination</t>
  </si>
  <si>
    <t>Student-designed major</t>
  </si>
  <si>
    <t>Study abroad</t>
  </si>
  <si>
    <t>Teacher certification program</t>
  </si>
  <si>
    <t>Weekend college</t>
  </si>
  <si>
    <t>Other (specify):</t>
  </si>
  <si>
    <t>Areas in which all or most students are required to complete some course work prior to graduation:</t>
  </si>
  <si>
    <t>Arts/fine arts</t>
  </si>
  <si>
    <t>Computer literacy</t>
  </si>
  <si>
    <t>English (including composition)</t>
  </si>
  <si>
    <t>Foreign languages</t>
  </si>
  <si>
    <t>Humanities</t>
  </si>
  <si>
    <t>Philosophy</t>
  </si>
  <si>
    <t>Sciences (biological or physical)</t>
  </si>
  <si>
    <t>Social science</t>
  </si>
  <si>
    <t>Does an open admission policy, if reported, apply to transfer students?</t>
  </si>
  <si>
    <t>Number</t>
  </si>
  <si>
    <t>D1</t>
  </si>
  <si>
    <t>D2</t>
  </si>
  <si>
    <t>D3</t>
  </si>
  <si>
    <t>D4</t>
  </si>
  <si>
    <t>D5</t>
  </si>
  <si>
    <t>Winter</t>
  </si>
  <si>
    <t>If a minimum high school grade point average is required of transfer applicants, specify (on a 4.0 scale):</t>
  </si>
  <si>
    <t>D6</t>
  </si>
  <si>
    <t>D7</t>
  </si>
  <si>
    <t>D8</t>
  </si>
  <si>
    <t>List application priority, closing, notification, and candidate reply dates for transfer students. If applications are reviewed on a continuous or rolling basis, place a check mark in the “Rolling admission” column.</t>
  </si>
  <si>
    <t>D9</t>
  </si>
  <si>
    <t>D10</t>
  </si>
  <si>
    <t>D11</t>
  </si>
  <si>
    <t xml:space="preserve">Describe additional requirements for transfer admission, if applicable: </t>
  </si>
  <si>
    <t>Transfer Credit Policies</t>
  </si>
  <si>
    <t>D12</t>
  </si>
  <si>
    <t xml:space="preserve">Report the lowest grade earned for any course that may be transferred for credit:  </t>
  </si>
  <si>
    <t>Unit Type</t>
  </si>
  <si>
    <t>Types of Aid Available</t>
  </si>
  <si>
    <t>Loans</t>
  </si>
  <si>
    <t>Direct Subsidized Stafford Loans</t>
  </si>
  <si>
    <t>Direct Unsubsidized Stafford Loans</t>
  </si>
  <si>
    <t>Direct PLUS Loans</t>
  </si>
  <si>
    <t>Federal Perkins Loans</t>
  </si>
  <si>
    <t>SAT essay</t>
  </si>
  <si>
    <t>ACT essay</t>
  </si>
  <si>
    <t>White, non-Hispanic</t>
  </si>
  <si>
    <t>TOTAL</t>
  </si>
  <si>
    <t>Persistence</t>
  </si>
  <si>
    <t>Certificate/diploma</t>
  </si>
  <si>
    <t>Associate degrees</t>
  </si>
  <si>
    <t>Bachelor's degrees</t>
  </si>
  <si>
    <t>Master's degrees</t>
  </si>
  <si>
    <t>Post-Master's certificates</t>
  </si>
  <si>
    <t>Graduation Rates</t>
  </si>
  <si>
    <t>Retention Rates</t>
  </si>
  <si>
    <t>Total
Undergraduates (both degree- and non-degree-seeking)</t>
  </si>
  <si>
    <t>B1</t>
  </si>
  <si>
    <t>B2</t>
  </si>
  <si>
    <t>B3</t>
  </si>
  <si>
    <t>Percent of all degree-seeking, first-time, first-year (freshman) students who had high school class rank within each of the following ranges (report information for those students from whom you collected high school rank information).</t>
  </si>
  <si>
    <t>A0</t>
  </si>
  <si>
    <t>Name:</t>
  </si>
  <si>
    <t>Title:</t>
  </si>
  <si>
    <t>Office:</t>
  </si>
  <si>
    <t>City/State/Zip/Country:</t>
  </si>
  <si>
    <t>Phone:</t>
  </si>
  <si>
    <t>Fax:</t>
  </si>
  <si>
    <t>E-mail Address:</t>
  </si>
  <si>
    <t>Are your responses to the CDS posted for reference on your institution's Web site?</t>
  </si>
  <si>
    <t>If yes, please provide the URL of the corresponding Web page:</t>
  </si>
  <si>
    <t>Indicate your institution’s policy regarding institutional scholarship and grant aid for undergraduate degree-seeking nonresident aliens:</t>
  </si>
  <si>
    <t>Doctorate: includes such degrees as Doctor of Philosophy, Doctor of Education, Doctor of Juridical Science, and Doctor of Public Health in any field such as arts, sciences, education, engineering, business, and public administration. Also includes terminal degrees formerly designated as “first professional,” including dentistry (DDS or DMD), medicine (MD), optometry (OD), osteopathic medicine (DO), pharmacy (DPharm or BPharm), podiatric medicine (DPM), veterinary medicine (DVM), chiropractic (DC or DCM), or law (JD).</t>
  </si>
  <si>
    <t>Total number with doctorate, or other terminal degree</t>
  </si>
  <si>
    <t xml:space="preserve">Please provide the URL of your institution’s net price calculator: </t>
  </si>
  <si>
    <t xml:space="preserve">Do tuition and fees vary by undergraduate instructional program?                                </t>
  </si>
  <si>
    <t>Mathematics and statistics</t>
  </si>
  <si>
    <t>Military science and military technologies</t>
  </si>
  <si>
    <t>28 &amp; 29</t>
  </si>
  <si>
    <t>Homeland Security, law enforcement, firefighting, and protective services</t>
  </si>
  <si>
    <t>Theme housing</t>
  </si>
  <si>
    <t>Wellness housing</t>
  </si>
  <si>
    <t xml:space="preserve">Check off criteria used in awarding institutional aid. Check all that apply. </t>
  </si>
  <si>
    <t>I. INSTRUCTIONAL FACULTY AND CLASS SIZE</t>
  </si>
  <si>
    <t>Full-Time</t>
  </si>
  <si>
    <t>Part-Time</t>
  </si>
  <si>
    <t>Total number of instructional faculty</t>
  </si>
  <si>
    <t>Total number who are members of minority groups</t>
  </si>
  <si>
    <t>Total number who are women</t>
  </si>
  <si>
    <t>Total number who are men</t>
  </si>
  <si>
    <t>Total number who are nonresident aliens (international)</t>
  </si>
  <si>
    <t>Total number whose highest degree is a master's but not a terminal master's</t>
  </si>
  <si>
    <t>Total number whose highest degree is a bachelor's</t>
  </si>
  <si>
    <t>Undergraduate Class Size</t>
  </si>
  <si>
    <t>CLASS SECTIONS</t>
  </si>
  <si>
    <t>2-9</t>
  </si>
  <si>
    <t>10-19</t>
  </si>
  <si>
    <t>20-29</t>
  </si>
  <si>
    <t>30-39</t>
  </si>
  <si>
    <t>40-49</t>
  </si>
  <si>
    <t>50-99</t>
  </si>
  <si>
    <t>100+</t>
  </si>
  <si>
    <t>CLASS SUB-SECTIONS</t>
  </si>
  <si>
    <t>I1</t>
  </si>
  <si>
    <t>I2</t>
  </si>
  <si>
    <t>I3</t>
  </si>
  <si>
    <t>Student to Faculty Ratio</t>
  </si>
  <si>
    <t>Federal methodology (FM)</t>
  </si>
  <si>
    <t>Institutional methodology (IM)</t>
  </si>
  <si>
    <t>Both FM and IM</t>
  </si>
  <si>
    <t>Process for First-Year/Freshman Students</t>
  </si>
  <si>
    <t>FAFSA</t>
  </si>
  <si>
    <t>Institution's own financial aid form</t>
  </si>
  <si>
    <t>CSS/Financial Aid PROFILE</t>
  </si>
  <si>
    <t>State aid form</t>
  </si>
  <si>
    <t>Business/Farm Supplement</t>
  </si>
  <si>
    <t>Indicate filing dates for first-year (freshman) students:</t>
  </si>
  <si>
    <t>Priority date for filing required financial aid forms:</t>
  </si>
  <si>
    <t>Deadline for filing required financial aid forms:</t>
  </si>
  <si>
    <t>faculty).</t>
  </si>
  <si>
    <t>A.  General Information</t>
  </si>
  <si>
    <t>Address Information</t>
  </si>
  <si>
    <t>Mailing Address:</t>
  </si>
  <si>
    <t>WWW Home Page Address:</t>
  </si>
  <si>
    <t>Admissions Phone Number:</t>
  </si>
  <si>
    <t>Admissions Toll-Free Phone Number:</t>
  </si>
  <si>
    <t>Admissions E-mail Address:</t>
  </si>
  <si>
    <r>
      <t xml:space="preserve">Source of institutional control </t>
    </r>
    <r>
      <rPr>
        <sz val="10"/>
        <rFont val="Arial"/>
        <family val="2"/>
      </rPr>
      <t>(Check only one)</t>
    </r>
    <r>
      <rPr>
        <b/>
        <sz val="10"/>
        <rFont val="Arial"/>
        <family val="2"/>
      </rPr>
      <t>:</t>
    </r>
  </si>
  <si>
    <t>Public</t>
  </si>
  <si>
    <t>Private (nonprofit)</t>
  </si>
  <si>
    <t>Proprietary</t>
  </si>
  <si>
    <t>Coeducational college</t>
  </si>
  <si>
    <t>Men's college</t>
  </si>
  <si>
    <t>Women's college</t>
  </si>
  <si>
    <t>Academic year calendar:</t>
  </si>
  <si>
    <t>Semester</t>
  </si>
  <si>
    <t>Quarter</t>
  </si>
  <si>
    <t>Trimester</t>
  </si>
  <si>
    <t>4-1-4</t>
  </si>
  <si>
    <t>Continuous</t>
  </si>
  <si>
    <t>Differs by program (describe):</t>
  </si>
  <si>
    <t>Other (describe):</t>
  </si>
  <si>
    <t>Certificate</t>
  </si>
  <si>
    <t>Diploma</t>
  </si>
  <si>
    <t>Associate</t>
  </si>
  <si>
    <t>Transfer Associate</t>
  </si>
  <si>
    <t>Terminal Associate</t>
  </si>
  <si>
    <t>Postbachelor's certificate</t>
  </si>
  <si>
    <t>Post-master's certificate</t>
  </si>
  <si>
    <t>B. ENROLLMENT AND PERSISTENCE</t>
  </si>
  <si>
    <t>FULL-TIME</t>
  </si>
  <si>
    <t>PART-TIME</t>
  </si>
  <si>
    <t>Men</t>
  </si>
  <si>
    <t>Women</t>
  </si>
  <si>
    <t>Undergraduates</t>
  </si>
  <si>
    <t>Degree-seeking, first-time freshmen</t>
  </si>
  <si>
    <t xml:space="preserve">Other first-year, degree-seeking </t>
  </si>
  <si>
    <t>All other degree-seeking</t>
  </si>
  <si>
    <t>Total degree-seeking</t>
  </si>
  <si>
    <r>
      <t xml:space="preserve">Number of students in line </t>
    </r>
    <r>
      <rPr>
        <b/>
        <sz val="9"/>
        <rFont val="Arial"/>
        <family val="2"/>
      </rPr>
      <t>d</t>
    </r>
    <r>
      <rPr>
        <sz val="9"/>
        <rFont val="Arial"/>
        <family val="2"/>
      </rPr>
      <t xml:space="preserve"> who were awarded any need-based scholarship or grant aid</t>
    </r>
  </si>
  <si>
    <r>
      <t xml:space="preserve">Number of students in line </t>
    </r>
    <r>
      <rPr>
        <b/>
        <sz val="9"/>
        <rFont val="Arial"/>
        <family val="2"/>
      </rPr>
      <t>d</t>
    </r>
    <r>
      <rPr>
        <sz val="9"/>
        <rFont val="Arial"/>
        <family val="2"/>
      </rPr>
      <t xml:space="preserve"> who were awarded any need-based self-help aid</t>
    </r>
  </si>
  <si>
    <r>
      <t xml:space="preserve">Number of students in line </t>
    </r>
    <r>
      <rPr>
        <b/>
        <sz val="9"/>
        <rFont val="Arial"/>
        <family val="2"/>
      </rPr>
      <t>d</t>
    </r>
    <r>
      <rPr>
        <sz val="9"/>
        <rFont val="Arial"/>
        <family val="2"/>
      </rPr>
      <t xml:space="preserve"> who were awarded any non-need-based scholarship or grant aid</t>
    </r>
  </si>
  <si>
    <r>
      <t>Average need-based scholarship and grant award of those in line</t>
    </r>
    <r>
      <rPr>
        <b/>
        <sz val="9"/>
        <rFont val="Arial"/>
        <family val="2"/>
      </rPr>
      <t xml:space="preserve"> e</t>
    </r>
  </si>
  <si>
    <r>
      <t>Average need-based loan (</t>
    </r>
    <r>
      <rPr>
        <u/>
        <sz val="9"/>
        <rFont val="Arial"/>
        <family val="2"/>
      </rPr>
      <t>excluding PLUS loans, unsubsidized loans, and private alternative loans</t>
    </r>
    <r>
      <rPr>
        <sz val="9"/>
        <rFont val="Arial"/>
        <family val="2"/>
      </rPr>
      <t>) of those in line</t>
    </r>
    <r>
      <rPr>
        <b/>
        <sz val="9"/>
        <rFont val="Arial"/>
        <family val="2"/>
      </rPr>
      <t xml:space="preserve"> f </t>
    </r>
    <r>
      <rPr>
        <sz val="9"/>
        <rFont val="Arial"/>
        <family val="2"/>
      </rPr>
      <t>who were awarded a need-based loan</t>
    </r>
  </si>
  <si>
    <r>
      <t xml:space="preserve">Number of students in line </t>
    </r>
    <r>
      <rPr>
        <b/>
        <sz val="9"/>
        <rFont val="Arial"/>
        <family val="2"/>
      </rPr>
      <t>a</t>
    </r>
    <r>
      <rPr>
        <sz val="9"/>
        <rFont val="Arial"/>
        <family val="2"/>
      </rPr>
      <t xml:space="preserve"> who had no financial need and who were awarded institutional non-need-based scholarship or grant aid (exclude those who were awarded athletic awards and tuition benefits)</t>
    </r>
  </si>
  <si>
    <t>25th Percentile</t>
  </si>
  <si>
    <t>75th Percentile</t>
  </si>
  <si>
    <t>ACT Composite</t>
  </si>
  <si>
    <t>ACT English</t>
  </si>
  <si>
    <t>ACT Math</t>
  </si>
  <si>
    <t>Admitted Applicants</t>
  </si>
  <si>
    <t>Enrolled Applicants</t>
  </si>
  <si>
    <t>Total</t>
  </si>
  <si>
    <t>Application for Admission</t>
  </si>
  <si>
    <t>Indicate terms for which transfers may enroll:</t>
  </si>
  <si>
    <t>Fall</t>
  </si>
  <si>
    <t>Spring</t>
  </si>
  <si>
    <t>Summer</t>
  </si>
  <si>
    <t>Must a transfer applicant have a minimum number of credits completed or else must apply as an entering freshman?</t>
  </si>
  <si>
    <t>G2</t>
  </si>
  <si>
    <t>G3</t>
  </si>
  <si>
    <t>G4</t>
  </si>
  <si>
    <t>G5</t>
  </si>
  <si>
    <t>Do tuition and fees vary by year of study (e.g., sophomore, junior, senior)?</t>
  </si>
  <si>
    <t>Percent who had GPA between 1.0 and 1.99</t>
  </si>
  <si>
    <t>Percent who had GPA below 1.0</t>
  </si>
  <si>
    <t>Admission Policies</t>
  </si>
  <si>
    <t>Application Fee</t>
  </si>
  <si>
    <t>Does your institution have an application fee?</t>
  </si>
  <si>
    <t>Can it be waived for applicants with financial need?</t>
  </si>
  <si>
    <t>Application closing date</t>
  </si>
  <si>
    <t>Does your institution have an application closing date?</t>
  </si>
  <si>
    <t>Deferred admission</t>
  </si>
  <si>
    <t>Does your institution allow students to postpone enrollment after admission?</t>
  </si>
  <si>
    <t>Early admission of high school students</t>
  </si>
  <si>
    <t>Early Decision and Early Action Plans</t>
  </si>
  <si>
    <t>Early action</t>
  </si>
  <si>
    <t>Total first-time, first-year (freshman) men who applied</t>
  </si>
  <si>
    <t>Total first-time, first-year (freshman) women who applied</t>
  </si>
  <si>
    <t>Total first-time, first-year (freshman) men who were admitted</t>
  </si>
  <si>
    <t>Percent of first-time, first-year (freshman) students with scores in each range:</t>
  </si>
  <si>
    <t>Dance</t>
  </si>
  <si>
    <t>Drama/theater</t>
  </si>
  <si>
    <t>Jazz band</t>
  </si>
  <si>
    <t>Literary magazine</t>
  </si>
  <si>
    <t>Marching band</t>
  </si>
  <si>
    <t>Music ensembles</t>
  </si>
  <si>
    <t>Musical theater</t>
  </si>
  <si>
    <t>Opera</t>
  </si>
  <si>
    <t>Pep band</t>
  </si>
  <si>
    <t>Radio station</t>
  </si>
  <si>
    <t>Student government</t>
  </si>
  <si>
    <t>Student newspaper</t>
  </si>
  <si>
    <t>Student-run film society</t>
  </si>
  <si>
    <t>Symphony orchestra</t>
  </si>
  <si>
    <t>Television station</t>
  </si>
  <si>
    <t>Yearbook</t>
  </si>
  <si>
    <t>Coed dorms</t>
  </si>
  <si>
    <t>Men's dorms</t>
  </si>
  <si>
    <t>Women's dorms</t>
  </si>
  <si>
    <t>Apartments for married students</t>
  </si>
  <si>
    <t>Apartments for single students</t>
  </si>
  <si>
    <t>Special housing for disabled students</t>
  </si>
  <si>
    <t>Special housing for international students</t>
  </si>
  <si>
    <t>Fraternity/sorority housing</t>
  </si>
  <si>
    <t>Cooperative housing</t>
  </si>
  <si>
    <t>Other housing options (specify):</t>
  </si>
  <si>
    <t>F4</t>
  </si>
  <si>
    <t>F3</t>
  </si>
  <si>
    <t>F2</t>
  </si>
  <si>
    <t>F1</t>
  </si>
  <si>
    <t>Parks and recreation</t>
  </si>
  <si>
    <t>Physical sciences</t>
  </si>
  <si>
    <t>Psychology</t>
  </si>
  <si>
    <t>Visual and performing arts</t>
  </si>
  <si>
    <t>Other</t>
  </si>
  <si>
    <t>Name of College/University:</t>
  </si>
  <si>
    <t>H1</t>
  </si>
  <si>
    <t>H2</t>
  </si>
  <si>
    <t>H4</t>
  </si>
  <si>
    <t>H5</t>
  </si>
  <si>
    <t>H6</t>
  </si>
  <si>
    <t>H7</t>
  </si>
  <si>
    <t>H8</t>
  </si>
  <si>
    <t>H9</t>
  </si>
  <si>
    <t>H10</t>
  </si>
  <si>
    <t>H12</t>
  </si>
  <si>
    <t>H13</t>
  </si>
  <si>
    <t>H14</t>
  </si>
  <si>
    <t>Computer Science</t>
  </si>
  <si>
    <t>Visual/Performing Arts</t>
  </si>
  <si>
    <t>C. FIRST-TIME, FIRST-YEAR (FRESHMAN) ADMISSION</t>
  </si>
  <si>
    <t>Applications</t>
  </si>
  <si>
    <t>Do you have a policy of placing students on a waiting list?</t>
  </si>
  <si>
    <t>Admission Requirements</t>
  </si>
  <si>
    <t>High school diploma is required and GED is accepted</t>
  </si>
  <si>
    <t xml:space="preserve">If you have a mailing address other than the above to which applications should be sent, please provide: </t>
  </si>
  <si>
    <t>Degree-Seeking
Undergraduates (include first-time first-year)</t>
  </si>
  <si>
    <r>
      <t xml:space="preserve">Total number whose highest degree is unknown or other  (Note:  Items </t>
    </r>
    <r>
      <rPr>
        <b/>
        <sz val="10"/>
        <rFont val="Arial"/>
        <family val="2"/>
      </rPr>
      <t>f</t>
    </r>
    <r>
      <rPr>
        <sz val="10"/>
        <rFont val="Arial"/>
        <family val="2"/>
      </rPr>
      <t xml:space="preserve">, </t>
    </r>
    <r>
      <rPr>
        <b/>
        <sz val="10"/>
        <rFont val="Arial"/>
        <family val="2"/>
      </rPr>
      <t>g</t>
    </r>
    <r>
      <rPr>
        <sz val="10"/>
        <rFont val="Arial"/>
        <family val="2"/>
      </rPr>
      <t xml:space="preserve">, </t>
    </r>
    <r>
      <rPr>
        <b/>
        <sz val="10"/>
        <rFont val="Arial"/>
        <family val="2"/>
      </rPr>
      <t>h</t>
    </r>
    <r>
      <rPr>
        <sz val="10"/>
        <rFont val="Arial"/>
        <family val="2"/>
      </rPr>
      <t xml:space="preserve">, and </t>
    </r>
    <r>
      <rPr>
        <b/>
        <sz val="10"/>
        <rFont val="Arial"/>
        <family val="2"/>
      </rPr>
      <t>i</t>
    </r>
    <r>
      <rPr>
        <sz val="10"/>
        <rFont val="Arial"/>
        <family val="2"/>
      </rPr>
      <t xml:space="preserve"> must sum up to item </t>
    </r>
    <r>
      <rPr>
        <b/>
        <sz val="10"/>
        <rFont val="Arial"/>
        <family val="2"/>
      </rPr>
      <t>a</t>
    </r>
    <r>
      <rPr>
        <sz val="10"/>
        <rFont val="Arial"/>
        <family val="2"/>
      </rPr>
      <t>.)</t>
    </r>
  </si>
  <si>
    <t>G6</t>
  </si>
  <si>
    <t>H. FINANCIAL AID</t>
  </si>
  <si>
    <t>Aid Awarded to Enrolled Undergraduates</t>
  </si>
  <si>
    <t>Scholarships/Grants</t>
  </si>
  <si>
    <t>Federal</t>
  </si>
  <si>
    <t>All other undergraduates enrolled in credit courses</t>
  </si>
  <si>
    <t xml:space="preserve">Total undergraduates </t>
  </si>
  <si>
    <t xml:space="preserve">Does your institution make use of SAT, ACT, or SAT Subject Test scores in admission decisions for first-time, first-year, degree-seeking applicants?   </t>
  </si>
  <si>
    <t>30-36</t>
  </si>
  <si>
    <t>24-29</t>
  </si>
  <si>
    <t>18-23</t>
  </si>
  <si>
    <t>12-17</t>
  </si>
  <si>
    <t>6-11</t>
  </si>
  <si>
    <t>Below 6</t>
  </si>
  <si>
    <t>Number of Class Sections with Undergraduates Enrolled</t>
  </si>
  <si>
    <t>Undergraduate Class Size (provide numbers)</t>
  </si>
  <si>
    <r>
      <t xml:space="preserve">Average dollar amount of institutional non-need-based scholarship and grant aid awarded to students in line </t>
    </r>
    <r>
      <rPr>
        <b/>
        <sz val="9"/>
        <rFont val="Arial"/>
        <family val="2"/>
      </rPr>
      <t>n</t>
    </r>
  </si>
  <si>
    <r>
      <t xml:space="preserve">Number of students in line </t>
    </r>
    <r>
      <rPr>
        <b/>
        <sz val="9"/>
        <rFont val="Arial"/>
        <family val="2"/>
      </rPr>
      <t>a</t>
    </r>
    <r>
      <rPr>
        <sz val="9"/>
        <rFont val="Arial"/>
        <family val="2"/>
      </rPr>
      <t xml:space="preserve"> who were awarded an institutional non-need-based athletic scholarship or grant</t>
    </r>
  </si>
  <si>
    <r>
      <t xml:space="preserve">Average dollar amount of institutional non-need-based athletic scholarships and grants awarded to students in line </t>
    </r>
    <r>
      <rPr>
        <b/>
        <sz val="9"/>
        <rFont val="Arial"/>
        <family val="2"/>
      </rPr>
      <t>p</t>
    </r>
  </si>
  <si>
    <t>Institutional need-based scholarship or grant aid is available</t>
  </si>
  <si>
    <t>Institutional non-need-based scholarship or grant aid is available</t>
  </si>
  <si>
    <t>Institutional scholarship or grant aid is not available</t>
  </si>
  <si>
    <t xml:space="preserve">If institutional financial aid is available for undergraduate degree-seeking nonresident aliens, provide the number of undergraduate degree-seeking nonresident aliens who were awarded need-based or non-need-based aid: </t>
  </si>
  <si>
    <t xml:space="preserve">Average dollar amount of institutional financial aid awarded to undergraduate degree-seeking nonresident aliens: </t>
  </si>
  <si>
    <t>College/university scholarship or grant aid from institutional funds</t>
  </si>
  <si>
    <t>Number accepting a place on the waiting list</t>
  </si>
  <si>
    <t>Number of wait-listed students admitted</t>
  </si>
  <si>
    <t>High school diploma is required and GED is not accepted</t>
  </si>
  <si>
    <t>High school diploma or equivalent is not required</t>
  </si>
  <si>
    <t>Require</t>
  </si>
  <si>
    <t>Recommend</t>
  </si>
  <si>
    <t>Neither require nor recommend</t>
  </si>
  <si>
    <t>Not using essay component</t>
  </si>
  <si>
    <t>Cooperative education program</t>
  </si>
  <si>
    <t xml:space="preserve">Deadline for housing deposit (MM/DD): </t>
  </si>
  <si>
    <t>Include if they teach one or more non-clinical credit courses</t>
  </si>
  <si>
    <t>C8C</t>
  </si>
  <si>
    <t>C8D</t>
  </si>
  <si>
    <t>State and other (e.g., institutional) work-study/employment (Note: Excludes Federal Work-Study captured above.)</t>
  </si>
  <si>
    <r>
      <t xml:space="preserve">Number of students in line </t>
    </r>
    <r>
      <rPr>
        <b/>
        <sz val="9"/>
        <rFont val="Arial"/>
        <family val="2"/>
      </rPr>
      <t>a</t>
    </r>
    <r>
      <rPr>
        <sz val="9"/>
        <rFont val="Arial"/>
        <family val="2"/>
      </rPr>
      <t xml:space="preserve"> who applied for need-based financial aid</t>
    </r>
  </si>
  <si>
    <r>
      <t xml:space="preserve">Number of students in line </t>
    </r>
    <r>
      <rPr>
        <b/>
        <sz val="9"/>
        <rFont val="Arial"/>
        <family val="2"/>
      </rPr>
      <t>c</t>
    </r>
    <r>
      <rPr>
        <sz val="9"/>
        <rFont val="Arial"/>
        <family val="2"/>
      </rPr>
      <t xml:space="preserve"> who were awarded any financial aid</t>
    </r>
  </si>
  <si>
    <t>Open admission policy as described above for most students, but--</t>
  </si>
  <si>
    <t xml:space="preserve">    selective admission to some programs</t>
  </si>
  <si>
    <t xml:space="preserve">    selective admission for out-of-state students</t>
  </si>
  <si>
    <t>Indicate all items required of transfer students to apply for admission:</t>
  </si>
  <si>
    <t>Required of All</t>
  </si>
  <si>
    <t>Recommended
of All</t>
  </si>
  <si>
    <t>Recommended
of Some</t>
  </si>
  <si>
    <t>Required of Some</t>
  </si>
  <si>
    <t>Not Required</t>
  </si>
  <si>
    <t>High school transcript</t>
  </si>
  <si>
    <t>College transcript(s)</t>
  </si>
  <si>
    <t>Essay or personal statement</t>
  </si>
  <si>
    <t>Statement of good standing from prior institution(s)</t>
  </si>
  <si>
    <t>Priority Date</t>
  </si>
  <si>
    <t>Closing Date</t>
  </si>
  <si>
    <t>Notification Date</t>
  </si>
  <si>
    <t>Reply Date</t>
  </si>
  <si>
    <t>Rolling Admission</t>
  </si>
  <si>
    <t>C8B</t>
  </si>
  <si>
    <t>Yes</t>
  </si>
  <si>
    <t>No</t>
  </si>
  <si>
    <t xml:space="preserve">Top half + </t>
  </si>
  <si>
    <t>bottom half = 100%</t>
  </si>
  <si>
    <t>Early Decision</t>
  </si>
  <si>
    <t xml:space="preserve">Does your institution offer an early decision plan (an admission plan that permits students to apply and be notified of an admission decision well in advance of the regular notification date and that asks students to commit to attending if accepted) for first-time, first-year (freshman) applicants for fall enrollment? </t>
  </si>
  <si>
    <t>D. TRANSFER ADMISSION</t>
  </si>
  <si>
    <t>Fall Applicants</t>
  </si>
  <si>
    <t>Applicants</t>
  </si>
  <si>
    <t>Total Scholarships/Grants</t>
  </si>
  <si>
    <t>Self-Help</t>
  </si>
  <si>
    <t>Student loans from all sources (excluding parent loans)</t>
  </si>
  <si>
    <t>Total Self-Help</t>
  </si>
  <si>
    <t>Parent Loans</t>
  </si>
  <si>
    <t>Athletic Awards</t>
  </si>
  <si>
    <t>First-time
Full-time
Freshmen</t>
  </si>
  <si>
    <t>Full-time
Undergraduate
(Incl. Fresh.)</t>
  </si>
  <si>
    <t>Less Than
Full-time
Undergraduate</t>
  </si>
  <si>
    <r>
      <t xml:space="preserve">Number of students in line </t>
    </r>
    <r>
      <rPr>
        <b/>
        <sz val="9"/>
        <rFont val="Arial"/>
        <family val="2"/>
      </rPr>
      <t>b</t>
    </r>
    <r>
      <rPr>
        <sz val="9"/>
        <rFont val="Arial"/>
        <family val="2"/>
      </rPr>
      <t xml:space="preserve"> who were determined to have financial need</t>
    </r>
  </si>
  <si>
    <t>Full-time
Undergrad
(Incl. Fresh.)</t>
  </si>
  <si>
    <t>Less Than
Full-time
Undergrad</t>
  </si>
  <si>
    <t>H2A</t>
  </si>
  <si>
    <r>
      <t xml:space="preserve">Number of students in line </t>
    </r>
    <r>
      <rPr>
        <b/>
        <sz val="9"/>
        <rFont val="Arial"/>
        <family val="2"/>
      </rPr>
      <t>d</t>
    </r>
    <r>
      <rPr>
        <sz val="9"/>
        <rFont val="Arial"/>
        <family val="2"/>
      </rPr>
      <t xml:space="preserve"> whose need was fully met (</t>
    </r>
    <r>
      <rPr>
        <u/>
        <sz val="9"/>
        <rFont val="Arial"/>
        <family val="2"/>
      </rPr>
      <t>exclude PLUS loans, unsubsidized loans, and private alternative loans</t>
    </r>
    <r>
      <rPr>
        <sz val="9"/>
        <rFont val="Arial"/>
        <family val="2"/>
      </rPr>
      <t>)</t>
    </r>
  </si>
  <si>
    <t>Doctoral degree -- other</t>
  </si>
  <si>
    <t>Total all graduate</t>
  </si>
  <si>
    <t>Doctoral degrees – research/scholarship</t>
  </si>
  <si>
    <t>Doctoral degrees – professional practice</t>
  </si>
  <si>
    <t>Doctoral degrees – other</t>
  </si>
  <si>
    <r>
      <t>Housing:</t>
    </r>
    <r>
      <rPr>
        <sz val="10"/>
        <rFont val="Arial"/>
        <family val="2"/>
      </rPr>
      <t xml:space="preserve"> Check all types of college-owned, -operated, or -affiliated housing available for undergraduates at your institution.</t>
    </r>
  </si>
  <si>
    <t>G. ANNUAL EXPENSES</t>
  </si>
  <si>
    <t>First-Year</t>
  </si>
  <si>
    <t>Number of credits per term a student can take for the stated full-time tuition</t>
  </si>
  <si>
    <t>Minimum</t>
  </si>
  <si>
    <t>Maximum</t>
  </si>
  <si>
    <t>Provide the estimated expenses for a typical full-time undergraduate student:</t>
  </si>
  <si>
    <t>Residents</t>
  </si>
  <si>
    <t>Commuters
(living at home)</t>
  </si>
  <si>
    <t>Commuters
(not living at home)</t>
  </si>
  <si>
    <t>Books and supplies</t>
  </si>
  <si>
    <t>Room only</t>
  </si>
  <si>
    <t>Board only</t>
  </si>
  <si>
    <t>Transportation</t>
  </si>
  <si>
    <t>Other expenses</t>
  </si>
  <si>
    <t>G1</t>
  </si>
  <si>
    <t>J. DEGREES CONFERRED</t>
  </si>
  <si>
    <t>J1</t>
  </si>
  <si>
    <t>Category</t>
  </si>
  <si>
    <t>Diploma/Certificates</t>
  </si>
  <si>
    <t>Bachelor’s</t>
  </si>
  <si>
    <t>Agriculture</t>
  </si>
  <si>
    <t>Architecture</t>
  </si>
  <si>
    <t>Biological/life sciences</t>
  </si>
  <si>
    <t>Business/marketing</t>
  </si>
  <si>
    <t>Computer and information sciences</t>
  </si>
  <si>
    <t>Education</t>
  </si>
  <si>
    <t>Interdisciplinary studies</t>
  </si>
  <si>
    <r>
      <t>Distribution of high school units required and/or recommended.</t>
    </r>
    <r>
      <rPr>
        <sz val="10"/>
        <rFont val="Arial"/>
        <family val="2"/>
      </rPr>
      <t xml:space="preserve"> Specify the distribution of academic high school course units required and/or recommended of all or most degree-seeking students using Carnegie units (one unit equals one year of study or its equivalent). If you use a different system for calculating units, please convert.</t>
    </r>
  </si>
  <si>
    <t>H15</t>
  </si>
  <si>
    <t xml:space="preserve">If your institution has recently implemented any major financial aid policy, program, or initiative to make your institution more affordable to incoming students such as replacing loans with grants, or waiving costs for families below a certain income level please provide details below: </t>
  </si>
  <si>
    <t>Campus Ministries</t>
  </si>
  <si>
    <t>International Student Organization</t>
  </si>
  <si>
    <t>Model UN</t>
  </si>
  <si>
    <r>
      <t xml:space="preserve">Activities offered </t>
    </r>
    <r>
      <rPr>
        <sz val="10"/>
        <rFont val="Arial"/>
        <family val="2"/>
      </rPr>
      <t xml:space="preserve">Identify those programs available at your institution. </t>
    </r>
  </si>
  <si>
    <t>Army ROTC is offered:</t>
  </si>
  <si>
    <t>Naval ROTC is offered:</t>
  </si>
  <si>
    <t>Air Force ROTC is offered:</t>
  </si>
  <si>
    <t>On Campus</t>
  </si>
  <si>
    <t>Name of Cooperating Institution</t>
  </si>
  <si>
    <t xml:space="preserve">At Cooperating Institution </t>
  </si>
  <si>
    <t>Do you have an open admission policy, under which virtually all secondary school graduates or students with GED equivalency diplomas are admitted without regard to academic record, test scores, or other qualifications?  If so, check which applies:</t>
  </si>
  <si>
    <t xml:space="preserve">Open admission policy as described above for all students </t>
  </si>
  <si>
    <t>C3</t>
  </si>
  <si>
    <t>C1</t>
  </si>
  <si>
    <t>C2</t>
  </si>
  <si>
    <t>C4</t>
  </si>
  <si>
    <t>C5</t>
  </si>
  <si>
    <t>C6</t>
  </si>
  <si>
    <t>C7</t>
  </si>
  <si>
    <t>C8</t>
  </si>
  <si>
    <t>C9</t>
  </si>
  <si>
    <t>C10</t>
  </si>
  <si>
    <t>C11</t>
  </si>
  <si>
    <t>C12</t>
  </si>
  <si>
    <t>C13</t>
  </si>
  <si>
    <t>C14</t>
  </si>
  <si>
    <t>C15</t>
  </si>
  <si>
    <t>C16</t>
  </si>
  <si>
    <t>C17</t>
  </si>
  <si>
    <t>C18</t>
  </si>
  <si>
    <t>C19</t>
  </si>
  <si>
    <t>C21</t>
  </si>
  <si>
    <t>C22</t>
  </si>
  <si>
    <t>ACT</t>
  </si>
  <si>
    <t xml:space="preserve">Entrance exams </t>
  </si>
  <si>
    <t>C8A</t>
  </si>
  <si>
    <t>Is your waiting list ranked?</t>
  </si>
  <si>
    <t>If yes, do you release that information to students?</t>
  </si>
  <si>
    <t>Do you release that information to school counselors?</t>
  </si>
  <si>
    <t>Rigor of secondary school record</t>
  </si>
  <si>
    <t xml:space="preserve">   Academic GPA</t>
  </si>
  <si>
    <t>Application Essay</t>
  </si>
  <si>
    <t xml:space="preserve">First generation </t>
  </si>
  <si>
    <t>Racial/ethnic status</t>
  </si>
  <si>
    <t>Level of applicant’s interest</t>
  </si>
  <si>
    <t>E1</t>
  </si>
  <si>
    <t>E3</t>
  </si>
  <si>
    <t>Undergraduate per-credit-hour charges (tuition only)</t>
  </si>
  <si>
    <t>International Student’s Financial Aid Application</t>
  </si>
  <si>
    <t>International Student’s Certification of Finances</t>
  </si>
  <si>
    <t>Noncustodial PROFILE</t>
  </si>
  <si>
    <t>Communication technologies</t>
  </si>
  <si>
    <t>Personal and culinary services</t>
  </si>
  <si>
    <t>Engineering</t>
  </si>
  <si>
    <t>Engineering technologies</t>
  </si>
  <si>
    <t>Family and consumer sciences</t>
  </si>
  <si>
    <t>Philosophy and religious studies</t>
  </si>
  <si>
    <t>Theology and religious vocations</t>
  </si>
  <si>
    <t>Science technologies</t>
  </si>
  <si>
    <t>Public administration and social services</t>
  </si>
  <si>
    <t xml:space="preserve">Social sciences </t>
  </si>
  <si>
    <t>Construction trades</t>
  </si>
  <si>
    <t>Mechanic and repair technologies</t>
  </si>
  <si>
    <t>Precision production</t>
  </si>
  <si>
    <t>Transportation and materials moving</t>
  </si>
  <si>
    <t>Totals should = 100%</t>
  </si>
  <si>
    <t>Street Address (if different):</t>
  </si>
  <si>
    <t>Main Phone Number:</t>
  </si>
  <si>
    <t>Admissions Office Mailing Address:</t>
  </si>
  <si>
    <t>Classify your undergraduate institution:</t>
  </si>
  <si>
    <t>Degrees offered by your institution:</t>
  </si>
  <si>
    <t>Postbachelor's certificates</t>
  </si>
  <si>
    <t>High school completion requirement</t>
  </si>
  <si>
    <r>
      <t xml:space="preserve">Reply policy for admitted applicants </t>
    </r>
    <r>
      <rPr>
        <i/>
        <sz val="10"/>
        <rFont val="Arial"/>
        <family val="2"/>
      </rPr>
      <t>(fill in one only)</t>
    </r>
  </si>
  <si>
    <t>A1</t>
  </si>
  <si>
    <t>A2</t>
  </si>
  <si>
    <t>A3</t>
  </si>
  <si>
    <t>A4</t>
  </si>
  <si>
    <t>A5</t>
  </si>
  <si>
    <t>We invite you to indicate if there are items on the CDS for which you cannot use the requested analytic convention, cannot provide data for the cohort requested, whose methodology is unclear, or about which you have questions or comments in general. This information will not be published but will help the publishers further refine CDS items.</t>
  </si>
  <si>
    <t>ACT only</t>
  </si>
  <si>
    <t>SAT Subject Tests only</t>
  </si>
  <si>
    <t>C8E</t>
  </si>
  <si>
    <t>SAT Subject Tests</t>
  </si>
  <si>
    <t>Latest date by which SAT Subject Test scores must be received for fall-term admission</t>
  </si>
  <si>
    <t>Latest date by which SAT or ACT scores must be received for fall-term admission</t>
  </si>
  <si>
    <t>SAT or ACT</t>
  </si>
  <si>
    <t>SAT only</t>
  </si>
  <si>
    <t>SAT and SAT Subject Tests or ACT</t>
  </si>
  <si>
    <t xml:space="preserve"> Please indicate how your institution will use the SAT or ACT writing component; check all that apply:</t>
  </si>
  <si>
    <t>For admission</t>
  </si>
  <si>
    <t>For placement</t>
  </si>
  <si>
    <t>For advising</t>
  </si>
  <si>
    <t>In place of an application essay</t>
  </si>
  <si>
    <t>As a validity check on the application essay</t>
  </si>
  <si>
    <t>No college policy as of now</t>
  </si>
  <si>
    <r>
      <t>In addition</t>
    </r>
    <r>
      <rPr>
        <sz val="10"/>
        <color indexed="8"/>
        <rFont val="Arial"/>
        <family val="2"/>
      </rPr>
      <t>, does your institution use applicants' test scores for academic advising?</t>
    </r>
  </si>
  <si>
    <t>C8G</t>
  </si>
  <si>
    <t>G0</t>
  </si>
  <si>
    <t>Communication/journalism</t>
  </si>
  <si>
    <t>Total full-time, first-time, first-year (freshman) men who enrolled</t>
  </si>
  <si>
    <t>Total part-time, first-time, first-year (freshman) men who enrolled</t>
  </si>
  <si>
    <t>Total full-time, first-time, first-year (freshman) women who enrolled</t>
  </si>
  <si>
    <t>Total part-time, first-time, first-year (freshman) women who enrolled</t>
  </si>
  <si>
    <r>
      <t>Terminal degree:</t>
    </r>
    <r>
      <rPr>
        <sz val="9"/>
        <rFont val="Arial"/>
        <family val="2"/>
      </rPr>
      <t xml:space="preserve"> the highest degree in a field: example, M. Arch (architecture) and MFA (master of fine arts).</t>
    </r>
  </si>
  <si>
    <t>Percentage of all enrolled, degree-seeking, first-time, first-year (freshman) students who had high school grade-point averages within each of the following ranges (using 4.0 scale).  Report information only for those students from whom you collected high school GPA.</t>
  </si>
  <si>
    <t xml:space="preserve">Average high school GPA of all degree-seeking, first-time, first-year (freshman) students who submitted GPA:  </t>
  </si>
  <si>
    <r>
      <t xml:space="preserve">ROTC </t>
    </r>
    <r>
      <rPr>
        <sz val="10"/>
        <rFont val="Arial"/>
        <family val="2"/>
      </rPr>
      <t>(program offered in cooperation with Reserve Officers' Training Corps)</t>
    </r>
  </si>
  <si>
    <t>Total first-time, first-year (freshman) women who were admitted</t>
  </si>
  <si>
    <t>Federal Nursing Loans</t>
  </si>
  <si>
    <t>State Loans</t>
  </si>
  <si>
    <t>College/university loans from institutional funds</t>
  </si>
  <si>
    <t>Federal Pell</t>
  </si>
  <si>
    <t>SEOG</t>
  </si>
  <si>
    <t>State scholarships/grants</t>
  </si>
  <si>
    <t>Private scholarships</t>
  </si>
  <si>
    <t>United Negro College Fund</t>
  </si>
  <si>
    <t>Federal Nursing Scholarship</t>
  </si>
  <si>
    <t>Non-Need Based</t>
  </si>
  <si>
    <t>Need-Based</t>
  </si>
  <si>
    <t>Academics</t>
  </si>
  <si>
    <t>Alumni affiliation</t>
  </si>
  <si>
    <t>Art</t>
  </si>
  <si>
    <t>Athletics</t>
  </si>
  <si>
    <t>Job skills</t>
  </si>
  <si>
    <t>ROTC</t>
  </si>
  <si>
    <t>Leadership</t>
  </si>
  <si>
    <t>Music/drama</t>
  </si>
  <si>
    <t>Religious affiliation</t>
  </si>
  <si>
    <t>State/district residency</t>
  </si>
  <si>
    <r>
      <t>Class Sections:</t>
    </r>
    <r>
      <rPr>
        <sz val="10"/>
        <rFont val="Arial"/>
        <family val="2"/>
      </rPr>
      <t xml:space="preserve">  A class section is an organized course offered for credit, identified by discipline and number, meeting at a stated time or times in a classroom or similar setting, and not a subsection such as a laboratory or discussion session. Undergraduate class sections are defined as any sections in which at least one degree-seeking undergraduate student is enrolled for credit. Exclude distance learning classes and noncredit classes and individual instruction such as dissertation or thesis research, music instruction, or one-to-one readings. Exclude students in independent study, co-operative programs, internships, foreign language taped tutor sessions, practicums, and all students in one-on-one classes. Each class section should be counted only once and should not be duplicated because of course catalog cross-listings.</t>
    </r>
  </si>
  <si>
    <r>
      <t>Class Subsections:</t>
    </r>
    <r>
      <rPr>
        <sz val="10"/>
        <rFont val="Arial"/>
        <family val="2"/>
      </rPr>
      <t xml:space="preserve">  A class subsection includes any subsection of a course, such as laboratory, recitation, and discussion subsections that are supplementary in nature and are scheduled to meet separately from the lecture portion of the course. Undergraduate subsections are defined as any subsections of courses in which degree-seeking undergraduate students enrolled for credit. As above, exclude noncredit classes and individual instruction such as dissertation or thesis research, music instruction, or one-to-one readings. Each class subsection should be counted only once and should not be duplicated because of cross-listings.</t>
    </r>
  </si>
  <si>
    <t>Graduate</t>
  </si>
  <si>
    <t>Degree-seeking, first-time</t>
  </si>
  <si>
    <t>All other graduates enrolled in credit courses</t>
  </si>
  <si>
    <t>Total graduate</t>
  </si>
  <si>
    <t>Total all undergraduates</t>
  </si>
  <si>
    <t>GRAND TOTAL ALL STUDENTS</t>
  </si>
  <si>
    <t>Degree-Seeking
First-Time
First Year</t>
  </si>
  <si>
    <t>Nonresident aliens</t>
  </si>
  <si>
    <t xml:space="preserve">Percent of total first-time, first-year (freshman) students who submitted high school GPA:  </t>
  </si>
  <si>
    <r>
      <t xml:space="preserve">Notification to applicants of admission decision sent </t>
    </r>
    <r>
      <rPr>
        <i/>
        <sz val="10"/>
        <color indexed="8"/>
        <rFont val="Arial"/>
        <family val="2"/>
      </rPr>
      <t>(fill in one only)</t>
    </r>
  </si>
  <si>
    <t xml:space="preserve">On a rolling basis beginning (date):  </t>
  </si>
  <si>
    <t xml:space="preserve">By (date):  </t>
  </si>
  <si>
    <t xml:space="preserve">Other:  </t>
  </si>
  <si>
    <t>E. ACADEMIC OFFERINGS AND POLICIES</t>
  </si>
  <si>
    <r>
      <t xml:space="preserve">Special study options: </t>
    </r>
    <r>
      <rPr>
        <sz val="10"/>
        <rFont val="Arial"/>
        <family val="2"/>
      </rPr>
      <t>Identify those programs available at your institution. Refer to the glossary for definitions.</t>
    </r>
  </si>
  <si>
    <t>Accelerated program</t>
  </si>
  <si>
    <t>Cross-registration</t>
  </si>
  <si>
    <t>Distance learning</t>
  </si>
  <si>
    <t>Double major</t>
  </si>
  <si>
    <t>Dual enrollment</t>
  </si>
  <si>
    <t>English as a Second Language (ESL)</t>
  </si>
  <si>
    <t xml:space="preserve">Minority faculty: includes faculty who designate themselves as Black, non-Hispanic; American Indian or Alaska Native; Asian, Native Hawaiian or other Pacific Islander, or Hispanic. </t>
  </si>
  <si>
    <t xml:space="preserve">Total dollar amount of institutional financial aid awarded to undergraduate degree-seeking nonresident aliens:  </t>
  </si>
  <si>
    <t>Check off all financial aid forms domestic first-year (freshman) financial aid applicants must submit:</t>
  </si>
  <si>
    <t>Please check off all types of aid available to undergraduates at your institution:</t>
  </si>
  <si>
    <t>TOTAL (should = 100%)</t>
  </si>
  <si>
    <t>Admissions Fax Number:</t>
  </si>
  <si>
    <t xml:space="preserve">Maximum number of credits or courses that may be transferred from a two-year institution: </t>
  </si>
  <si>
    <t>D13</t>
  </si>
  <si>
    <t xml:space="preserve">Maximum number of credits or courses that may be transferred from a four-year institution:  </t>
  </si>
  <si>
    <t>D14</t>
  </si>
  <si>
    <t>D16</t>
  </si>
  <si>
    <t xml:space="preserve">Minimum number of credits that transfers must complete at your institution to earn a bachelor’s degree:  </t>
  </si>
  <si>
    <t>D17</t>
  </si>
  <si>
    <t>F. STUDENT LIFE</t>
  </si>
  <si>
    <t>Percent who live in college-owned, -operated, or -affiliated housing</t>
  </si>
  <si>
    <t>Percent who live off campus or commute</t>
  </si>
  <si>
    <t>Percent of students age 25 and older</t>
  </si>
  <si>
    <t>Average age of full-time students</t>
  </si>
  <si>
    <t>Average age of all students (full- and part-time)</t>
  </si>
  <si>
    <t>Choral groups</t>
  </si>
  <si>
    <t>Concert band</t>
  </si>
  <si>
    <t>Does your institution allow high school students to enroll as full-time, first-time, first-year (freshman) students one year or more before high school graduation?</t>
  </si>
  <si>
    <t>Federal Work-Study</t>
  </si>
  <si>
    <t>(a) instructional faculty in preclinical and clinical medicine, faculty who are not paid (e.g., those who donate their services or are in the military), or research-only faculty, post-doctoral fellows, or pre-doctoral fellows</t>
  </si>
  <si>
    <t>(b) administrative officers with titles such as dean of students, librarian, registrar, coach, and the like, even though they may devote part of their time to classroom instruction and may have faculty status</t>
  </si>
  <si>
    <t>(c) other administrators/staff who teach one or more non-clinical credit courses even though they do not have faculty status</t>
  </si>
  <si>
    <t>(d) undergraduate or graduate students who assist in the instruction of courses, but have titles such as teaching assistant, teaching fellow, and the like</t>
  </si>
  <si>
    <t>(e) faculty on sabbatical or leave with pay</t>
  </si>
  <si>
    <t xml:space="preserve">(f) faculty on leave without pay </t>
  </si>
  <si>
    <t>(g) replacement faculty for faculty on sabbatical leave or leave with pay</t>
  </si>
  <si>
    <t>Full-time</t>
  </si>
  <si>
    <t>Part-time</t>
  </si>
  <si>
    <t>Exclude</t>
  </si>
  <si>
    <t>Include only if they teach one or more non-clinical credit courses</t>
  </si>
  <si>
    <t>Include</t>
  </si>
  <si>
    <r>
      <t>Full-time instructional faculty:</t>
    </r>
    <r>
      <rPr>
        <sz val="9"/>
        <rFont val="Arial"/>
        <family val="2"/>
      </rPr>
      <t xml:space="preserve"> faculty employed on a full-time basis for instruction (including those with released time for research)</t>
    </r>
  </si>
  <si>
    <r>
      <t xml:space="preserve">Part-time instructional faculty: </t>
    </r>
    <r>
      <rPr>
        <sz val="9"/>
        <rFont val="Arial"/>
        <family val="2"/>
      </rPr>
      <t>Adjuncts and other instructors being paid solely for part-time classroom instruction. Also includes full-time faculty teaching less than two semesters, three quarters, two trimesters, or two four-month sessions. Employees who are not considered full-time instructional faculty but who teach one or more non-clinical credit courses may be counted as part-time faculty.</t>
    </r>
  </si>
  <si>
    <t>Total number in stand-alone graduate/ professional programs in which faculty teach virtually only graduate-level students</t>
  </si>
  <si>
    <t>(based on</t>
  </si>
  <si>
    <t>students</t>
  </si>
  <si>
    <t>and</t>
  </si>
  <si>
    <t>ADMISSION</t>
  </si>
  <si>
    <t>Not Used</t>
  </si>
  <si>
    <t>Check off all financial aid forms nonresident alien first-year financial aid applicants must submit:</t>
  </si>
  <si>
    <t>Institution’s own financial aid form</t>
  </si>
  <si>
    <t>Indicate notification dates for first-year (freshman) students (answer a or b):</t>
  </si>
  <si>
    <t>If yes, starting date:</t>
  </si>
  <si>
    <t>Law/legal studies</t>
  </si>
  <si>
    <t>Liberal arts/general studies</t>
  </si>
  <si>
    <t>Library science</t>
  </si>
  <si>
    <t>Require for Some</t>
  </si>
  <si>
    <t>Consider if Submitted</t>
  </si>
  <si>
    <r>
      <t>Average need-based self-help award (</t>
    </r>
    <r>
      <rPr>
        <u/>
        <sz val="9"/>
        <rFont val="Arial"/>
        <family val="2"/>
      </rPr>
      <t>excluding PLUS loans, unsubsidized loans, and private alternative loans</t>
    </r>
    <r>
      <rPr>
        <sz val="9"/>
        <rFont val="Arial"/>
        <family val="2"/>
      </rPr>
      <t xml:space="preserve">) of those in line </t>
    </r>
    <r>
      <rPr>
        <b/>
        <sz val="9"/>
        <rFont val="Arial"/>
        <family val="2"/>
      </rPr>
      <t>f</t>
    </r>
  </si>
  <si>
    <t>Does your institution require or recommend a general college-preparatory program for degree-seeking students?</t>
  </si>
  <si>
    <t>English</t>
  </si>
  <si>
    <t>Mathematics</t>
  </si>
  <si>
    <t>Science</t>
  </si>
  <si>
    <t>Social studies</t>
  </si>
  <si>
    <t>History</t>
  </si>
  <si>
    <t>Academic electives</t>
  </si>
  <si>
    <t>Basis for Selection</t>
  </si>
  <si>
    <t>Relative importance of each of the following academic and nonacademic factors in first-time, first-year, degree-seeking (freshman) admission decisions.</t>
  </si>
  <si>
    <t>Very Important</t>
  </si>
  <si>
    <t>Important</t>
  </si>
  <si>
    <t>Considered</t>
  </si>
  <si>
    <t>Not Considered</t>
  </si>
  <si>
    <t>Academic</t>
  </si>
  <si>
    <t>Class rank</t>
  </si>
  <si>
    <t>Recommendation(s)</t>
  </si>
  <si>
    <t>Standardized test scores</t>
  </si>
  <si>
    <t>Nonacademic</t>
  </si>
  <si>
    <t>Interview</t>
  </si>
  <si>
    <t>Extracurricular activities</t>
  </si>
  <si>
    <t>Talent/ability</t>
  </si>
  <si>
    <t>Character/personal qualities</t>
  </si>
  <si>
    <t>Alumni/ae relation</t>
  </si>
  <si>
    <t>Geographical residence</t>
  </si>
  <si>
    <t>State residency</t>
  </si>
  <si>
    <t>Religious affiliation/commitment</t>
  </si>
  <si>
    <t>Minority status</t>
  </si>
  <si>
    <t>Volunteer work</t>
  </si>
  <si>
    <t>Work experience</t>
  </si>
  <si>
    <t>SAT and ACT Policies</t>
  </si>
  <si>
    <t>Freshman Profile</t>
  </si>
  <si>
    <t>Natural resources and conservation</t>
  </si>
  <si>
    <t>Area, ethnic, and gender studies</t>
  </si>
  <si>
    <t>Foreign languages, literatures, and linguistics</t>
  </si>
  <si>
    <t>Health professions and related programs</t>
  </si>
  <si>
    <t>Hispanic/Latino</t>
  </si>
  <si>
    <r>
      <t xml:space="preserve">Number of qualified applicants </t>
    </r>
    <r>
      <rPr>
        <sz val="10"/>
        <rFont val="Arial"/>
        <family val="2"/>
      </rPr>
      <t>offered</t>
    </r>
    <r>
      <rPr>
        <sz val="10"/>
        <color indexed="13"/>
        <rFont val="Arial"/>
        <family val="2"/>
      </rPr>
      <t xml:space="preserve"> </t>
    </r>
    <r>
      <rPr>
        <sz val="10"/>
        <rFont val="Arial"/>
        <family val="2"/>
      </rPr>
      <t>a place on waiting list</t>
    </r>
  </si>
  <si>
    <t>ACT with writing required</t>
  </si>
  <si>
    <t>ACT with writing recommended</t>
  </si>
  <si>
    <t>ACT with or without writing accepted</t>
  </si>
  <si>
    <t>SAT with Essay component required</t>
  </si>
  <si>
    <t>SAT with Essay component recommended</t>
  </si>
  <si>
    <t>SAT with or without Essay component accepted</t>
  </si>
  <si>
    <t xml:space="preserve">If your institution will make use of the SAT in admission decisions for first-time, first-year, degree-seeking applicants </t>
  </si>
  <si>
    <t>in the admissions process:</t>
  </si>
  <si>
    <t>If there is a separate URL for your school’s online application, please specify:</t>
  </si>
  <si>
    <t>Source/Type of Loan</t>
  </si>
  <si>
    <t xml:space="preserve">Number in the class (defined in H4 above) who borrowed from the types of loans specified in the first column </t>
  </si>
  <si>
    <t>Percent of the class (defined above) who borrowed from the  types of loans specified in the first column  (nearest 1%)</t>
  </si>
  <si>
    <t>Average per-undergraduate-borrower cumulative principal borrowed from the types of loans specified in the first column (nearest $1)</t>
  </si>
  <si>
    <t>For Bachelor's or Equivalent Institutions</t>
  </si>
  <si>
    <t>Recipients of a Federal Pell Grant</t>
  </si>
  <si>
    <t>Students who did not receive either a Pell Grant or a subsidized Stafford Loan</t>
  </si>
  <si>
    <t>Total (sum of 3 columes to the left)</t>
  </si>
  <si>
    <t>Recipients of a Subsidized Stafford Loan who did not receive a Pell Grant</t>
  </si>
  <si>
    <t>G - Total graduating within six years (sum of lines D, E, and F)</t>
  </si>
  <si>
    <t>Cecila King</t>
  </si>
  <si>
    <t>Data Management Coordinator</t>
  </si>
  <si>
    <t>Office of Institutional Research and Effectiveness</t>
  </si>
  <si>
    <t>P.O. Drawer EY</t>
  </si>
  <si>
    <t>Mississippi State, MS  39762 U.S.A.</t>
  </si>
  <si>
    <t>662-325-3920</t>
  </si>
  <si>
    <t>662-325-3514</t>
  </si>
  <si>
    <t>oir@ir.msstate.edu</t>
  </si>
  <si>
    <t>http://www.ir.msstate.edu/</t>
  </si>
  <si>
    <t>Mississippi State University</t>
  </si>
  <si>
    <t>P.O. Box 6018</t>
  </si>
  <si>
    <t>Mississippi State, MS  39762  U.S.A.</t>
  </si>
  <si>
    <t>662-325-2323</t>
  </si>
  <si>
    <t>www.msstate.edu</t>
  </si>
  <si>
    <t>662-325-2224</t>
  </si>
  <si>
    <t>P.O. Box 6334</t>
  </si>
  <si>
    <t>(662) 325-1MSU</t>
  </si>
  <si>
    <t>admit@msstate.edu</t>
  </si>
  <si>
    <t>http://www.msstate.edu/future-students/apply/</t>
  </si>
  <si>
    <t>X</t>
  </si>
  <si>
    <t>men</t>
  </si>
  <si>
    <t>women</t>
  </si>
  <si>
    <t>total</t>
  </si>
  <si>
    <t>ft</t>
  </si>
  <si>
    <t>pt</t>
  </si>
  <si>
    <t>ugrad</t>
  </si>
  <si>
    <t>grad</t>
  </si>
  <si>
    <t>Total
Undergraduates</t>
  </si>
  <si>
    <t>Percent of men who are members of fraternities</t>
  </si>
  <si>
    <t>Percent of women who are members of sororities</t>
  </si>
  <si>
    <t>First-time Freshmen</t>
  </si>
  <si>
    <t>C *</t>
  </si>
  <si>
    <t>62 **</t>
  </si>
  <si>
    <t>Credits</t>
  </si>
  <si>
    <t>93 **</t>
  </si>
  <si>
    <t>to     1</t>
  </si>
  <si>
    <t>General Scholarship Application</t>
  </si>
  <si>
    <t>Co-Residential Housing</t>
  </si>
  <si>
    <t>SAT Math</t>
  </si>
  <si>
    <t>SAT Reading/Writing</t>
  </si>
  <si>
    <t>700-800</t>
  </si>
  <si>
    <t>600-699</t>
  </si>
  <si>
    <t>500-599</t>
  </si>
  <si>
    <t>400-499</t>
  </si>
  <si>
    <t>300-399</t>
  </si>
  <si>
    <t>200-299</t>
  </si>
  <si>
    <t>Military Service Transfer Credit Policies</t>
  </si>
  <si>
    <t>DANTES Subject Standardized Tests (DSST)                   Yes    No</t>
  </si>
  <si>
    <t>American Council on Education (ACE)</t>
  </si>
  <si>
    <t>College Level Examination Program (CLEP)</t>
  </si>
  <si>
    <t>DANTES Subject Standardized Tests (DSST)</t>
  </si>
  <si>
    <t>D18</t>
  </si>
  <si>
    <t>D19</t>
  </si>
  <si>
    <t>D20</t>
  </si>
  <si>
    <t>D21</t>
  </si>
  <si>
    <t>D22</t>
  </si>
  <si>
    <t>Does your institution accept the following military/veteran transfer credits:</t>
  </si>
  <si>
    <t xml:space="preserve">Maximum number of credits or courses that may be transferred based on military education evaluated by the American Council on Education (ACE): </t>
  </si>
  <si>
    <t xml:space="preserve">Maximum number of credits or courses that may be transferred based on Department of Defense supported prior learning assessments (College Level Examination Program (CLEP) or DANTES Subject Standardized Tests (DSST)):  </t>
  </si>
  <si>
    <t>Are the military/veteran credit transfer policies on your website?</t>
  </si>
  <si>
    <t>MEN</t>
  </si>
  <si>
    <t>APPLIED</t>
  </si>
  <si>
    <t>ADMITTED</t>
  </si>
  <si>
    <t>ENROLLED</t>
  </si>
  <si>
    <t>WOMEN</t>
  </si>
  <si>
    <t>TOT ENROLLED</t>
  </si>
  <si>
    <t>credit hours</t>
  </si>
  <si>
    <t xml:space="preserve">Describe other military/veteran transfer credit policies unique to your institution: </t>
  </si>
  <si>
    <t xml:space="preserve">Amount of housing application fee: </t>
  </si>
  <si>
    <t>Total (sum of 3 columns to the left)</t>
  </si>
  <si>
    <r>
      <t>Need-based $</t>
    </r>
    <r>
      <rPr>
        <sz val="10"/>
        <color indexed="16"/>
        <rFont val="Arial"/>
        <family val="2"/>
      </rPr>
      <t xml:space="preserve"> </t>
    </r>
    <r>
      <rPr>
        <sz val="8"/>
        <color indexed="16"/>
        <rFont val="Arial"/>
        <family val="2"/>
      </rPr>
      <t>(Include non-need-based aid used to meet need.)</t>
    </r>
  </si>
  <si>
    <r>
      <t xml:space="preserve">Non-need-based $     </t>
    </r>
    <r>
      <rPr>
        <sz val="10"/>
        <color indexed="16"/>
        <rFont val="Arial"/>
        <family val="2"/>
      </rPr>
      <t xml:space="preserve"> </t>
    </r>
    <r>
      <rPr>
        <sz val="8"/>
        <color indexed="16"/>
        <rFont val="Arial"/>
        <family val="2"/>
      </rPr>
      <t>(Exclude non-need-based aid used to meet need.)</t>
    </r>
  </si>
  <si>
    <t>B4</t>
  </si>
  <si>
    <t>B5</t>
  </si>
  <si>
    <t>B6</t>
  </si>
  <si>
    <t>B7</t>
  </si>
  <si>
    <t>B8</t>
  </si>
  <si>
    <t>B9</t>
  </si>
  <si>
    <t>B10</t>
  </si>
  <si>
    <t>B11</t>
  </si>
  <si>
    <t>B12</t>
  </si>
  <si>
    <t>B13</t>
  </si>
  <si>
    <t>B14</t>
  </si>
  <si>
    <t>B15</t>
  </si>
  <si>
    <t>B16</t>
  </si>
  <si>
    <t>B17</t>
  </si>
  <si>
    <t>B18</t>
  </si>
  <si>
    <t>B19</t>
  </si>
  <si>
    <t>B20</t>
  </si>
  <si>
    <t>SAT Composite</t>
  </si>
  <si>
    <t>Percent who had GPA of 4.0</t>
  </si>
  <si>
    <t>Percent who had GPA between 3.75 and 3.99</t>
  </si>
  <si>
    <t>https://npc.collegeboard.org/app/msu</t>
  </si>
  <si>
    <t>Fall 2014 Cohort</t>
  </si>
  <si>
    <t>A- Initital 2014 cohort of first-time, full-time bachelor's (or equivalent) degree seeking undergraduate-students</t>
  </si>
  <si>
    <t>B- Of the initial 2014 cohort, how many did not persist and did not graduate for the following reasons: deceased, permanently disabled, armed forces, foreign aid service of the federal government, or official church missions; total allowable exclusions</t>
  </si>
  <si>
    <t>C- Final 2014 cohort, after adjusting for allowable exclusions</t>
  </si>
  <si>
    <t>H - Six-year graduation rate for 2014 cohort (G divided by C)</t>
  </si>
  <si>
    <t>D - Of the initial 2014 cohort, how many completed the program in four years or less (by Aug. 31, 2018)</t>
  </si>
  <si>
    <t>E - Of the initial 2014 cohort, how many completed the program in more than four years but in five years or less (after Aug. 31, 2017 and by Aug. 31, 2019)</t>
  </si>
  <si>
    <r>
      <t>Describe other transfer credit policies:</t>
    </r>
    <r>
      <rPr>
        <sz val="10"/>
        <color indexed="16"/>
        <rFont val="Arial"/>
        <family val="2"/>
      </rPr>
      <t xml:space="preserve"> </t>
    </r>
    <r>
      <rPr>
        <sz val="10"/>
        <color theme="5" tint="-0.499984740745262"/>
        <rFont val="Arial"/>
        <family val="2"/>
      </rPr>
      <t>( * ) Colleges and schools may allow the transfer of credits with a grade of D at their discretion [MSU AOP 12.12]. ( ** ) For curricula requiring 124 total credit hours. The last half of total hours applied toward graduation must be earned in a senior college, and at least the last 25% of semester credit hours of course work taken to fulfill degree requirements must be completed at Mississippi State University [MSU AOP 12.11].</t>
    </r>
  </si>
  <si>
    <t>•     Admitted applicants should include wait-listed students who were subsequently offered admission.</t>
  </si>
  <si>
    <t xml:space="preserve">•     Applicants should include only those students who fulfilled the requirements for consideration for       
      admission (i.e., who completed actionable applications) and who have been notified of one of the 
      following actions: admission, non-admission, placement on waiting list, or application withdrawn (by 
      applicant or institution). </t>
  </si>
  <si>
    <t>•     Include early decision, early action, and students who began studies during summer in this cohort.</t>
  </si>
  <si>
    <t>Students who met admission requirements but whose final admission was contingent on space availability</t>
  </si>
  <si>
    <t>Freshman wait-listed students</t>
  </si>
  <si>
    <t>WAITING LIST</t>
  </si>
  <si>
    <t>Check the appropriate box to identify your high school completion requirement for degree-seeking entering students:</t>
  </si>
  <si>
    <t xml:space="preserve">        other (explain):</t>
  </si>
  <si>
    <r>
      <t xml:space="preserve">•     Include information for </t>
    </r>
    <r>
      <rPr>
        <b/>
        <sz val="10"/>
        <color indexed="8"/>
        <rFont val="Arial"/>
        <family val="2"/>
      </rPr>
      <t>ALL enrolled, degree-seeking, first-time, first-year (freshman) students 
      who submitted test scores.</t>
    </r>
  </si>
  <si>
    <r>
      <t xml:space="preserve">•     </t>
    </r>
    <r>
      <rPr>
        <sz val="10"/>
        <color indexed="8"/>
        <rFont val="Arial"/>
        <family val="2"/>
      </rPr>
      <t>Do not include partial test scores (e.g., mathematics scores but not critical reading for a category of 
      students) or combine other standardized test results (such as TOEFL) in this item.</t>
    </r>
  </si>
  <si>
    <r>
      <t xml:space="preserve">•     </t>
    </r>
    <r>
      <rPr>
        <sz val="10"/>
        <color indexed="8"/>
        <rFont val="Arial"/>
        <family val="2"/>
      </rPr>
      <t>Do not convert SAT scores to ACT scores and vice versa.</t>
    </r>
  </si>
  <si>
    <r>
      <t xml:space="preserve">•     </t>
    </r>
    <r>
      <rPr>
        <sz val="10"/>
        <color indexed="8"/>
        <rFont val="Arial"/>
        <family val="2"/>
      </rPr>
      <t>If a student submitted multiple sets of scores for a single test, report this information according to how 
      you use the data. For example:</t>
    </r>
  </si>
  <si>
    <r>
      <t xml:space="preserve">•     </t>
    </r>
    <r>
      <rPr>
        <sz val="10"/>
        <color indexed="8"/>
        <rFont val="Arial"/>
        <family val="2"/>
      </rPr>
      <t>If you consider the highest scores from either submission, use the highest combination of scores 
      (e.g., verbal from one submission, math from the other).</t>
    </r>
  </si>
  <si>
    <r>
      <t xml:space="preserve">•     </t>
    </r>
    <r>
      <rPr>
        <sz val="10"/>
        <color indexed="8"/>
        <rFont val="Arial"/>
        <family val="2"/>
      </rPr>
      <t>If you average the scores, use the average to report the scores.</t>
    </r>
  </si>
  <si>
    <t>Percent</t>
  </si>
  <si>
    <t>Submitting SAT Scores</t>
  </si>
  <si>
    <t>Submitting ACT Scores</t>
  </si>
  <si>
    <t>Assessment</t>
  </si>
  <si>
    <t>Score Range</t>
  </si>
  <si>
    <t>1400-1600</t>
  </si>
  <si>
    <t>1200-1399</t>
  </si>
  <si>
    <t>1000-1199</t>
  </si>
  <si>
    <t>800-999</t>
  </si>
  <si>
    <t>600-799</t>
  </si>
  <si>
    <t>400-599</t>
  </si>
  <si>
    <t xml:space="preserve">Amount of application fee: </t>
  </si>
  <si>
    <t>Same fee</t>
  </si>
  <si>
    <t>Free</t>
  </si>
  <si>
    <t>Reduced</t>
  </si>
  <si>
    <t>Date</t>
  </si>
  <si>
    <t xml:space="preserve">Must reply by (date): </t>
  </si>
  <si>
    <t>No set date</t>
  </si>
  <si>
    <t xml:space="preserve">Must reply by May 1st or within </t>
  </si>
  <si>
    <t>weeks if notified thereafter</t>
  </si>
  <si>
    <t>Other:</t>
  </si>
  <si>
    <t>Yes, in full</t>
  </si>
  <si>
    <t>Yes, in part</t>
  </si>
  <si>
    <t>If yes, maximum period of postponement:</t>
  </si>
  <si>
    <r>
      <t>•     Note: Report students formerly designated as “first professional” in the graduate cells.</t>
    </r>
    <r>
      <rPr>
        <sz val="10"/>
        <rFont val="Arial"/>
        <family val="2"/>
      </rPr>
      <t xml:space="preserve"> </t>
    </r>
  </si>
  <si>
    <t xml:space="preserve">•     Include international students only in the category "Nonresident aliens." </t>
  </si>
  <si>
    <t>•     Complete the “Total Undergraduates” column only if you cannot provide data for the first two columns.</t>
  </si>
  <si>
    <t>•     Report as your institution reports to IPEDS: persons who are Hispanic should be reported only on the 
      Hispanic line, not under any race, and persons who are non-Hispanic multi-racial should be reported only 
      under "Two or more races."</t>
  </si>
  <si>
    <r>
      <rPr>
        <b/>
        <sz val="11"/>
        <color theme="5" tint="-0.499984740745262"/>
        <rFont val="Arial"/>
        <family val="2"/>
      </rPr>
      <t xml:space="preserve">Institutional Enrollment Men and Women - </t>
    </r>
    <r>
      <rPr>
        <b/>
        <sz val="10"/>
        <rFont val="Arial"/>
        <family val="2"/>
      </rPr>
      <t>Provide numbers of students for each of the following categories as of the institution's official fall reporting date.</t>
    </r>
  </si>
  <si>
    <r>
      <rPr>
        <b/>
        <sz val="11"/>
        <color theme="5" tint="-0.499984740745262"/>
        <rFont val="Arial"/>
        <family val="2"/>
      </rPr>
      <t>Enrollment by Racial/Ethnic Category -</t>
    </r>
    <r>
      <rPr>
        <b/>
        <sz val="10"/>
        <rFont val="Arial"/>
        <family val="2"/>
      </rPr>
      <t xml:space="preserve"> Provide numbers of undergraduate students for each of the following categories as of the institution's official fall reporting date. </t>
    </r>
  </si>
  <si>
    <t>• Students who received a Federal Pell Grant*</t>
  </si>
  <si>
    <t>• Recipients of a subsidized Stafford Loan who did not receive a Pell Grant</t>
  </si>
  <si>
    <t>• Students who did not receive either a Pell Grant or a subsidized Stafford Loan</t>
  </si>
  <si>
    <t>• Total (all students, regardless of Pell Grant or subsidized loan status)</t>
  </si>
  <si>
    <t>* Students who received both a Federal Pell Grant and a subsidized Stafford Loan should be reported in the "Recipients of a Federal Pell Grant" column.</t>
  </si>
  <si>
    <t>For each graduation rate grid below, the numbers in the first three columns for Questions A-G should sum to the cohort total in the fourth column.</t>
  </si>
  <si>
    <r>
      <t>List any other application requirements specific to transfer applicants:</t>
    </r>
    <r>
      <rPr>
        <sz val="10"/>
        <color indexed="16"/>
        <rFont val="Arial"/>
        <family val="2"/>
      </rPr>
      <t xml:space="preserve"> </t>
    </r>
  </si>
  <si>
    <r>
      <t xml:space="preserve">If a minimum college grade point average is required of transfer applicants, specify (on a 4.0 scale):   </t>
    </r>
    <r>
      <rPr>
        <b/>
        <sz val="10"/>
        <color theme="5" tint="-0.499984740745262"/>
        <rFont val="Arial"/>
        <family val="2"/>
      </rPr>
      <t xml:space="preserve"> </t>
    </r>
    <r>
      <rPr>
        <b/>
        <u/>
        <sz val="10"/>
        <color theme="5" tint="-0.499984740745262"/>
        <rFont val="Arial"/>
        <family val="2"/>
      </rPr>
      <t>2.00</t>
    </r>
  </si>
  <si>
    <t>$40 Application Fee</t>
  </si>
  <si>
    <t>Grade</t>
  </si>
  <si>
    <t xml:space="preserve">Does your institution enroll transfer students? </t>
  </si>
  <si>
    <t xml:space="preserve">May transfer students earn advanced standing credit by transferring credits earned from course work completed at other colleges/universities?  </t>
  </si>
  <si>
    <t>Percent who are from out of state (exclude  international/nonresident aliens)</t>
  </si>
  <si>
    <r>
      <rPr>
        <sz val="10"/>
        <color indexed="8"/>
        <rFont val="Arial"/>
        <family val="2"/>
      </rPr>
      <t>•</t>
    </r>
    <r>
      <rPr>
        <b/>
        <sz val="10"/>
        <color indexed="8"/>
        <rFont val="Arial"/>
        <family val="2"/>
      </rPr>
      <t xml:space="preserve">     </t>
    </r>
    <r>
      <rPr>
        <sz val="10"/>
        <color indexed="8"/>
        <rFont val="Arial"/>
        <family val="2"/>
      </rPr>
      <t xml:space="preserve">A full academic year refers to the period of time generally extending from September to June; usually 
      equated to two semesters, two trimesters, three quarters, or the period covered by a four-one-four plan. </t>
    </r>
  </si>
  <si>
    <t xml:space="preserve">•     Room and board is defined as double occupancy and 19 meals per week or the maximum meal plan. </t>
  </si>
  <si>
    <r>
      <rPr>
        <sz val="10"/>
        <color indexed="8"/>
        <rFont val="Arial"/>
        <family val="2"/>
      </rPr>
      <t>•</t>
    </r>
    <r>
      <rPr>
        <b/>
        <sz val="10"/>
        <color indexed="8"/>
        <rFont val="Arial"/>
        <family val="2"/>
      </rPr>
      <t xml:space="preserve">     Required fees </t>
    </r>
    <r>
      <rPr>
        <sz val="10"/>
        <color indexed="8"/>
        <rFont val="Arial"/>
        <family val="2"/>
      </rPr>
      <t xml:space="preserve">include only charges that all full-time students must pay that are </t>
    </r>
    <r>
      <rPr>
        <b/>
        <sz val="10"/>
        <color indexed="8"/>
        <rFont val="Arial"/>
        <family val="2"/>
      </rPr>
      <t>not</t>
    </r>
    <r>
      <rPr>
        <sz val="10"/>
        <color indexed="8"/>
        <rFont val="Arial"/>
        <family val="2"/>
      </rPr>
      <t xml:space="preserve"> included in tuition 
      (e.g., registration, health, or activity fees.) </t>
    </r>
  </si>
  <si>
    <r>
      <t xml:space="preserve">•     Do </t>
    </r>
    <r>
      <rPr>
        <b/>
        <i/>
        <sz val="10"/>
        <color indexed="8"/>
        <rFont val="Arial"/>
        <family val="2"/>
      </rPr>
      <t>not</t>
    </r>
    <r>
      <rPr>
        <sz val="10"/>
        <color indexed="8"/>
        <rFont val="Arial"/>
        <family val="2"/>
      </rPr>
      <t xml:space="preserve"> include optional fees (e.g., parking, laboratory use).</t>
    </r>
  </si>
  <si>
    <t>PUBLIC INSTITUTIONS</t>
  </si>
  <si>
    <t>Tuition: Out-of-state:</t>
  </si>
  <si>
    <t>Tuition: Non-resident alien</t>
  </si>
  <si>
    <t>FOR ALL INSTITUTIONS</t>
  </si>
  <si>
    <t>Required Fees</t>
  </si>
  <si>
    <t>Room and Board (on-campus):</t>
  </si>
  <si>
    <t>^Tuition: In-state:</t>
  </si>
  <si>
    <t>*Room Only (on-campus):</t>
  </si>
  <si>
    <t>**Board Only (on-campus meal plan):</t>
  </si>
  <si>
    <t>Percent in top tenth</t>
  </si>
  <si>
    <t xml:space="preserve">Percent in top quarter </t>
  </si>
  <si>
    <t xml:space="preserve">Percent in top half </t>
  </si>
  <si>
    <t xml:space="preserve">Percent in bottom half </t>
  </si>
  <si>
    <t xml:space="preserve">Percent in bottom quarter </t>
  </si>
  <si>
    <t>Percent who submitted class rank:</t>
  </si>
  <si>
    <t xml:space="preserve">
Required</t>
  </si>
  <si>
    <t>Recommended</t>
  </si>
  <si>
    <t>Total academic units:</t>
  </si>
  <si>
    <t xml:space="preserve">•     Include aid awarded to international students (i.e., those not qualifying for federal aid). </t>
  </si>
  <si>
    <t>•     Aid that is non-need-based but that was used to meet need should be reported in the need-based aid column.</t>
  </si>
  <si>
    <t>•     Do NOT include any aid related to the CARES Act or unique to the COVID-19 pandemic.</t>
  </si>
  <si>
    <r>
      <t xml:space="preserve">Enter total dollar amounts </t>
    </r>
    <r>
      <rPr>
        <b/>
        <sz val="10"/>
        <color indexed="8"/>
        <rFont val="Arial"/>
        <family val="2"/>
      </rPr>
      <t>awarded</t>
    </r>
    <r>
      <rPr>
        <sz val="10"/>
        <color indexed="8"/>
        <rFont val="Arial"/>
        <family val="2"/>
      </rPr>
      <t xml:space="preserve"> to enrolled full-time and less than full-time degree-seeking undergraduates</t>
    </r>
    <r>
      <rPr>
        <b/>
        <sz val="10"/>
        <color indexed="8"/>
        <rFont val="Arial"/>
        <family val="2"/>
      </rPr>
      <t xml:space="preserve"> (using the same cohort reported in CDS Question B1, “total degree-seeking” undergraduates)</t>
    </r>
    <r>
      <rPr>
        <sz val="10"/>
        <color indexed="8"/>
        <rFont val="Arial"/>
        <family val="2"/>
      </rPr>
      <t xml:space="preserve"> in the following categories.</t>
    </r>
  </si>
  <si>
    <r>
      <t xml:space="preserve">Which needs-analysis methodology does your institution use in awarding institutional aid? </t>
    </r>
    <r>
      <rPr>
        <b/>
        <sz val="10"/>
        <rFont val="Arial"/>
        <family val="2"/>
      </rPr>
      <t>(Formerly H3)</t>
    </r>
  </si>
  <si>
    <r>
      <t xml:space="preserve">Indicate the academic year for which data are reported for </t>
    </r>
    <r>
      <rPr>
        <b/>
        <sz val="10"/>
        <color indexed="8"/>
        <rFont val="Arial"/>
        <family val="2"/>
      </rPr>
      <t>items H1, H2, H2A</t>
    </r>
    <r>
      <rPr>
        <sz val="10"/>
        <color indexed="8"/>
        <rFont val="Arial"/>
        <family val="2"/>
      </rPr>
      <t xml:space="preserve">, and </t>
    </r>
    <r>
      <rPr>
        <b/>
        <sz val="10"/>
        <color indexed="8"/>
        <rFont val="Arial"/>
        <family val="2"/>
      </rPr>
      <t>H6</t>
    </r>
    <r>
      <rPr>
        <sz val="10"/>
        <color indexed="8"/>
        <rFont val="Arial"/>
        <family val="2"/>
      </rPr>
      <t xml:space="preserve"> below:</t>
    </r>
  </si>
  <si>
    <r>
      <rPr>
        <b/>
        <sz val="10"/>
        <rFont val="Arial"/>
        <family val="2"/>
      </rPr>
      <t>State</t>
    </r>
    <r>
      <rPr>
        <sz val="10"/>
        <rFont val="Arial"/>
        <family val="2"/>
      </rPr>
      <t xml:space="preserve"> all states, not only the state in which your institution is located</t>
    </r>
  </si>
  <si>
    <r>
      <rPr>
        <b/>
        <sz val="10"/>
        <rFont val="Arial"/>
        <family val="2"/>
      </rPr>
      <t>Institutional:</t>
    </r>
    <r>
      <rPr>
        <sz val="10"/>
        <rFont val="Arial"/>
        <family val="2"/>
      </rPr>
      <t xml:space="preserve"> Endowed scholarships, annual gifts and tuition funded grants, awarded by the college, excluding athletic aid and tuition waivers (which are reported below).</t>
    </r>
  </si>
  <si>
    <r>
      <rPr>
        <b/>
        <sz val="10"/>
        <rFont val="Arial"/>
        <family val="2"/>
      </rPr>
      <t>Scholarships/grants from external sources</t>
    </r>
    <r>
      <rPr>
        <sz val="10"/>
        <rFont val="Arial"/>
        <family val="2"/>
      </rPr>
      <t xml:space="preserve"> (e.g. Kiwanis, National Merit) not awarded by the college</t>
    </r>
  </si>
  <si>
    <r>
      <rPr>
        <b/>
        <sz val="10"/>
        <rFont val="Arial"/>
        <family val="2"/>
      </rPr>
      <t>Tuition Waivers</t>
    </r>
    <r>
      <rPr>
        <sz val="10"/>
        <rFont val="Arial"/>
        <family val="2"/>
      </rPr>
      <t xml:space="preserve">
Note: Reporting is optional. Report tuition waivers in this row if you choose to report them. Do not report tuition waivers elsewhere.</t>
    </r>
  </si>
  <si>
    <r>
      <rPr>
        <sz val="10"/>
        <rFont val="Arial"/>
        <family val="2"/>
      </rPr>
      <t>•</t>
    </r>
    <r>
      <rPr>
        <b/>
        <sz val="10"/>
        <rFont val="Arial"/>
        <family val="2"/>
      </rPr>
      <t xml:space="preserve">     Aid that is non-need-based but that was used to meet need should be counted as need-
      based aid.</t>
    </r>
  </si>
  <si>
    <r>
      <rPr>
        <sz val="10"/>
        <rFont val="Arial"/>
        <family val="2"/>
      </rPr>
      <t xml:space="preserve">•     </t>
    </r>
    <r>
      <rPr>
        <u/>
        <sz val="10"/>
        <rFont val="Arial"/>
        <family val="2"/>
      </rPr>
      <t>Numbers should reflect the cohort awarded the dollars reported in H1.</t>
    </r>
  </si>
  <si>
    <t>•     In the chart below, students may be counted in more than one row, and full-time freshmen 
      should also be counted as full-time undergraduates.</t>
  </si>
  <si>
    <r>
      <rPr>
        <sz val="10"/>
        <color rgb="FFFF0000"/>
        <rFont val="Arial"/>
        <family val="2"/>
      </rPr>
      <t>•</t>
    </r>
    <r>
      <rPr>
        <b/>
        <sz val="10"/>
        <color rgb="FFFF0000"/>
        <rFont val="Arial"/>
        <family val="2"/>
      </rPr>
      <t xml:space="preserve">     Do NOT include any aid related to the CARES Act or unique to the COVID-19 pandemic.</t>
    </r>
  </si>
  <si>
    <t>A</t>
  </si>
  <si>
    <t>B</t>
  </si>
  <si>
    <t>C</t>
  </si>
  <si>
    <t>D</t>
  </si>
  <si>
    <t>E</t>
  </si>
  <si>
    <t>F</t>
  </si>
  <si>
    <t>G</t>
  </si>
  <si>
    <t>H</t>
  </si>
  <si>
    <t>I</t>
  </si>
  <si>
    <r>
      <t xml:space="preserve">On average, the percentage of need that was met of students who were awarded any need-based aid. Exclude any aid that was awarded in excess of need as well as any resources that were awarded to replace EFC </t>
    </r>
    <r>
      <rPr>
        <u/>
        <sz val="9"/>
        <rFont val="Arial"/>
        <family val="2"/>
      </rPr>
      <t>(PLUS loans, unsubsidized loans, and private alternative loans)</t>
    </r>
  </si>
  <si>
    <t>J</t>
  </si>
  <si>
    <r>
      <t xml:space="preserve">The average financial aid package of those in line </t>
    </r>
    <r>
      <rPr>
        <b/>
        <sz val="9"/>
        <rFont val="Arial"/>
        <family val="2"/>
      </rPr>
      <t>d</t>
    </r>
    <r>
      <rPr>
        <sz val="9"/>
        <rFont val="Arial"/>
        <family val="2"/>
      </rPr>
      <t xml:space="preserve">. Exclude any resources that were awarded to replace EFC </t>
    </r>
    <r>
      <rPr>
        <u/>
        <sz val="9"/>
        <rFont val="Arial"/>
        <family val="2"/>
      </rPr>
      <t>(PLUS loans, unsubsidized loans, and private alternative loans)</t>
    </r>
  </si>
  <si>
    <t>K</t>
  </si>
  <si>
    <t>L</t>
  </si>
  <si>
    <t>M</t>
  </si>
  <si>
    <t>•     Numbers should reflect the cohort awarded the dollars reported in H1.</t>
  </si>
  <si>
    <t>•     In the chart below, students may be counted in more than one row, and full-time freshmen should also
      be counted as full-time undergraduates.</t>
  </si>
  <si>
    <t>N</t>
  </si>
  <si>
    <t>O</t>
  </si>
  <si>
    <t>P</t>
  </si>
  <si>
    <t>Q</t>
  </si>
  <si>
    <t xml:space="preserve">Note: These are the graduates and loan types to include and exclude in order to fill out CDS H4 and H5. </t>
  </si>
  <si>
    <t>Include:</t>
  </si>
  <si>
    <r>
      <rPr>
        <sz val="10"/>
        <color indexed="8"/>
        <rFont val="Arial"/>
        <family val="2"/>
      </rPr>
      <t>•</t>
    </r>
    <r>
      <rPr>
        <b/>
        <sz val="10"/>
        <color indexed="8"/>
        <rFont val="Arial"/>
        <family val="2"/>
      </rPr>
      <t xml:space="preserve">     </t>
    </r>
    <r>
      <rPr>
        <sz val="10"/>
        <color indexed="8"/>
        <rFont val="Arial"/>
        <family val="2"/>
      </rPr>
      <t>2020 undergraduate class: all students who started at your institution as first-time students and 
      received a bachelor's degree between July 1, 2019 and June 30, 2020.</t>
    </r>
  </si>
  <si>
    <t>•     Only loans made to students who borrowed while enrolled at your institution.</t>
  </si>
  <si>
    <t>•     Co-signed loans.</t>
  </si>
  <si>
    <t>•     Students who transferred in.</t>
  </si>
  <si>
    <t>•     Money borrowed at other institutions.</t>
  </si>
  <si>
    <t>•     Parent loans</t>
  </si>
  <si>
    <t>•     Students who did not graduate or who graduated with another degree or certificate (but no 
      bachelor’s degree).</t>
  </si>
  <si>
    <r>
      <rPr>
        <sz val="10"/>
        <color rgb="FFFF0000"/>
        <rFont val="Arial"/>
        <family val="2"/>
      </rPr>
      <t>•</t>
    </r>
    <r>
      <rPr>
        <sz val="10"/>
        <rFont val="Arial"/>
        <family val="2"/>
      </rPr>
      <t xml:space="preserve">     </t>
    </r>
    <r>
      <rPr>
        <b/>
        <sz val="10"/>
        <color rgb="FFFF0000"/>
        <rFont val="Arial"/>
        <family val="2"/>
      </rPr>
      <t>Any aid related to the CARE Act or unique the COVID-19 pandemic.</t>
    </r>
  </si>
  <si>
    <t xml:space="preserve">Number and percent of students in class (defined in H4 above) borrowing from federal, non-federal, and any loan sources, and the average (or mean) amount borrowed. </t>
  </si>
  <si>
    <t xml:space="preserve">•     The “Average per-undergraduate-borrower cumulative principal borrowed,” is designed to provide better 
      information about student borrowing from federal and nonfederal (institutional, state, commercial) sources. </t>
  </si>
  <si>
    <t xml:space="preserve">•    The numbers, percentages, and averages for each row should be based only on the loan source specified for 
      the particular row. For example, the federal loans average (row b) should only be the cumulative average of 
      federal loans and the private loans average (row e) should only be the cumulative average of private loans. </t>
  </si>
  <si>
    <t>Any loan program: Federal Perkins, Federal Stafford Subsidized and Unsubsidized, institutional, state, private loans that your institution is aware of, etc. Include both Federal Direct Student Loans and Federal Family Education Loans.</t>
  </si>
  <si>
    <t>Federal loan programs: Federal Perkins, Federal Stafford Subsidized and Unsubsidized. Include both Federal Direct Student Loans and Federal Family Education Loans.</t>
  </si>
  <si>
    <t>Institutional loan programs.</t>
  </si>
  <si>
    <t>State loan programs.</t>
  </si>
  <si>
    <t>Private student loans made by a bank or lender.</t>
  </si>
  <si>
    <t>Aid to Undergraduate Degree-seeking Nonresident Aliens</t>
  </si>
  <si>
    <t>•     Report numbers and dollar amounts for the same academic year checked in item H1</t>
  </si>
  <si>
    <t>No deadline for filing required forms (applications processed on a rolling basis)</t>
  </si>
  <si>
    <t xml:space="preserve">a) Students notified on or about (date): </t>
  </si>
  <si>
    <t>b) Students notified on a rolling basis:</t>
  </si>
  <si>
    <t>H11</t>
  </si>
  <si>
    <t>Indicate reply dates:</t>
  </si>
  <si>
    <t xml:space="preserve">Students must reply by (date): </t>
  </si>
  <si>
    <t>or within _______ weeks of notification.</t>
  </si>
  <si>
    <t>Need Based Scholarships and Grants</t>
  </si>
  <si>
    <t>Are these policies related to the COVID-19 pandemic?</t>
  </si>
  <si>
    <t>•     Do not count undergraduate or graduate student teaching assistants as faculty.</t>
  </si>
  <si>
    <t>Instructional Faculty is defined as those members of the instructional-research staff whose major regular assignment is instruction, including those with released time for research. Use the chart below to determine inclusions and exclusions:</t>
  </si>
  <si>
    <t>•     Please include classes that have been moved online in response to the COVID-19 pandemic.</t>
  </si>
  <si>
    <t>March 1st</t>
  </si>
  <si>
    <t>December 1st</t>
  </si>
  <si>
    <t>May 1st</t>
  </si>
  <si>
    <t xml:space="preserve">•     To determine the percentage, use majors, not headcount (e.g., students with one degree but a double major will be
       represented twice). </t>
  </si>
  <si>
    <t xml:space="preserve">For each of the following discipline areas, provide the percentage of diplomas/certificates, associate, and bachelor’s degrees awarded. </t>
  </si>
  <si>
    <t>CIP 2020 Categories to Include</t>
  </si>
  <si>
    <t>01</t>
  </si>
  <si>
    <t>03</t>
  </si>
  <si>
    <t>04</t>
  </si>
  <si>
    <t>09</t>
  </si>
  <si>
    <t>IPEDS
 1st Major #</t>
  </si>
  <si>
    <t>Doctoral degree - research/scholarship</t>
  </si>
  <si>
    <t>Doctoral degree - professional practice</t>
  </si>
  <si>
    <t>Doctoral degree - other</t>
  </si>
  <si>
    <t>Bachelor's degree</t>
  </si>
  <si>
    <t>Master's degree</t>
  </si>
  <si>
    <t>Post-master's degree</t>
  </si>
  <si>
    <t>The items in this section correspond to data elements collected by the IPEDS Web-based Data Collection System’s Graduation Rate Survey (GRS).  For complete instructions and definitions of data elements, see the IPEDS GRS Forms and Instructions for the 2021-21 Survey</t>
  </si>
  <si>
    <t>F - Of the initial 2014 cohort, how many completed the program in more than five years but in six years or less (after Aug. 31, 2018 and by Aug. 31, 2021)</t>
  </si>
  <si>
    <t>Fall 2015 Cohort</t>
  </si>
  <si>
    <t>A- Initital 2015 cohort of first-time, full-time bachelor's (or equivalent) degree seeking undergraduate-students</t>
  </si>
  <si>
    <t>B- Of the initial 2015 cohort, how many did not persist and did not graduate for the following reasons: deceased, permanently disabled, armed forces, foreign aid service of the federal government, or official church missions; total allowable exclusions</t>
  </si>
  <si>
    <t>C- Final 2015 cohort, after adjusting for allowable exclusions</t>
  </si>
  <si>
    <t>D - Of the initial 2015 cohort, how many completed the program in four years or less (by Aug. 31, 2019)</t>
  </si>
  <si>
    <t>E - Of the initial 2015 cohort, how many completed the program in more than four years but in five years or less (after Aug. 31, 2019 and by Aug. 31, 2020)</t>
  </si>
  <si>
    <t>F - Of the initial 2015 cohort, how many completed the program in more than five years but in six years or less (after Aug. 31, 2020 and by Aug. 31, 2021)</t>
  </si>
  <si>
    <t>H - Six-year graduation rate for 2015 cohort (G divided by C)</t>
  </si>
  <si>
    <t>Undergraduate full-time tuition, required fees, room and board List the typical tuition, required fees, and room and board for a full-time undergraduate student for the FULL 2021-22 academic year (30 semester or 45 quarter hours for institutions that derive annual tuition by multiplying credit hour cost by number of credits).</t>
  </si>
  <si>
    <t>Number of degree-seeking undergraduate students (CDS Item B1 if reporting on Fall 2021 cohort)</t>
  </si>
  <si>
    <r>
      <rPr>
        <b/>
        <sz val="10"/>
        <color theme="5" tint="-0.499984740745262"/>
        <rFont val="Arial"/>
        <family val="2"/>
      </rPr>
      <t>Number of Enrolled Students Awarded Non-need-based Scholarships and Grants</t>
    </r>
    <r>
      <rPr>
        <sz val="10"/>
        <color theme="5" tint="-0.499984740745262"/>
        <rFont val="Arial"/>
        <family val="2"/>
      </rPr>
      <t>:</t>
    </r>
    <r>
      <rPr>
        <sz val="10"/>
        <color indexed="16"/>
        <rFont val="Arial"/>
        <family val="2"/>
      </rPr>
      <t xml:space="preserve"> </t>
    </r>
    <r>
      <rPr>
        <sz val="10"/>
        <rFont val="Arial"/>
        <family val="2"/>
      </rPr>
      <t xml:space="preserve"> List the number of degree-seeking full-time and less-than-full-time undergraduates who had no financial need and who were awarded institutional non-need-based scholarship or grant aid. </t>
    </r>
  </si>
  <si>
    <t>•    Calculate the percentage from your institution’s IPEDS Completions by using the sum of 1st and 2nd majors for each CIP code as the numerator and the sum of the Grand Total by 1st Majors and the Grand Total by 2nd major as the denominator. If you prefer, you can compute the percentages using 1st majors only.</t>
  </si>
  <si>
    <t>Post-Master's degrees</t>
  </si>
  <si>
    <r>
      <rPr>
        <b/>
        <sz val="10"/>
        <color theme="5" tint="-0.499984740745262"/>
        <rFont val="Arial"/>
        <family val="2"/>
      </rPr>
      <t>Number of Enrolled Students Awarded Aid:</t>
    </r>
    <r>
      <rPr>
        <sz val="10"/>
        <color indexed="16"/>
        <rFont val="Arial"/>
        <family val="2"/>
      </rPr>
      <t xml:space="preserve"> </t>
    </r>
    <r>
      <rPr>
        <sz val="10"/>
        <rFont val="Arial"/>
        <family val="2"/>
      </rPr>
      <t xml:space="preserve"> List the number of degree-seeking full-time and less-than-full-time undergraduates who applied for and were awarded financial aid from any source.</t>
    </r>
  </si>
  <si>
    <t>1/3 PT STUDENTS</t>
  </si>
  <si>
    <t>•     Exclude both faculty and students in stand-alone graduate or professional programs such as medicine, law, veterinary, dentistry, social work, business, or public health in which faculty teach virtually only graduate-level students.</t>
  </si>
  <si>
    <t>Respondent Information</t>
  </si>
  <si>
    <t>Degrees conferred between July 1, 2021 and June 30, 2022</t>
  </si>
  <si>
    <t>Please report the number of instructional faculty members in each category for Fall 2022. Include faculty who are on your institution’s payroll on the census date your institution uses for IPEDS/AAUP.</t>
  </si>
  <si>
    <t>Report the Fall 2022 ratio of full-time equivalent students (full-time plus 1/3 part time) to full-time equivalent instructional faculty (full time plus 1/3 part time).</t>
  </si>
  <si>
    <t>Fall 2022 Student to Faculty ratio</t>
  </si>
  <si>
    <t>In the table below, please use the following definitions to report information about the size of classes and class sections offered in the Fall 2022 term.</t>
  </si>
  <si>
    <t xml:space="preserve">Using the above definitions, please report for each of the following class-size intervals the number of class sections and class subsections offered in Fall 2022. For example, a lecture class with 800 students who met at another time in 40 separate labs with 20 students should be counted once in the “100+” column in the class section column and 40 times under the “20-29” column of the class subsections table. </t>
  </si>
  <si>
    <t>2021-2022
final</t>
  </si>
  <si>
    <t>2022-2023 estimated</t>
  </si>
  <si>
    <t>•      There was not an increase to the tuition rate for the year 2021-2022, from the prior year.
•      The winter session tuition for 2021-2022 was discounted in order to help students be able             to take advantage of that opportunity.
•      A special circumstance initiative that included contacting our students to inform them of assistance for those who may have had a change in financial standing.
•      Offered an Educational Savings Grant Program for current and future students from low-income families, who can deposit up to $625 into a trustee savings account that will be transferred to their student account at the end of the program. After six months of participation the the Educational Savings Grant Program, the student's savings would be matched four to one in grant funds, up to $2,500.</t>
  </si>
  <si>
    <t>•     If the data being reported are final figures for the 2021-2022 academic year (see the next item below), 
      use the 2021-2022 academic year's CDS Question B1 cohort.</t>
  </si>
  <si>
    <t>Provide the number of students in the 2022 undergraduate class who started at your institution as first-time students and received a bachelor's degree between July 1, 2021 and June 30, 2022. Exclude students who transferred into your institution.</t>
  </si>
  <si>
    <t>Provide 2022-23 academic year costs of attendance for the following categories that are applicable to your institution.</t>
  </si>
  <si>
    <t xml:space="preserve">Check here if your institution's 2023-24 academic year costs of attendance are not available at this time and provide an approximate date (i.e., month/day) when your institution's final 2023-24 academic year costs of attendance will be available:  </t>
  </si>
  <si>
    <t>^Source: http://www.mississippi.edu/finance/downloads/fy2023_tuition.pdf</t>
  </si>
  <si>
    <t>*Source: http://www.mississippi.edu/finance/downloads/fy_2021-23_housing.pdf</t>
  </si>
  <si>
    <t>**Source: http://www.mississippi.edu/finance/downloads/fy_2021-23_meal.pdf</t>
  </si>
  <si>
    <t>Percentages of first-time, first-year (freshman) degree-seeking students and degree-seeking undergraduates enrolled in Fall 2022 who fit the following categories:</t>
  </si>
  <si>
    <t>Provide the number of students who applied, were admitted, and enrolled as degree-seeking transfer students in Fall 2022.</t>
  </si>
  <si>
    <t xml:space="preserve">First-time, first-year, (freshmen) students: Provide the number of degree-seeking, first-time, first-year students who applied, were admitted, and enrolled (full- or part-time) in Fall 2022. </t>
  </si>
  <si>
    <t>If yes, please answer the questions below for Fall 2022 admissions:</t>
  </si>
  <si>
    <t>If yes, place check marks in the appropriate boxes below to reflect your institution’s policies for use in admission for Fall 2022.</t>
  </si>
  <si>
    <t>If your institution will make use of the ACT in admission decisions for first-time, first-year, degree-seeking applicants for Fall 2022, please indicate which ONE of the following applies: (regardless of whether the writing score will be used in the admissions process):</t>
  </si>
  <si>
    <t>for Fall 2022 please indicate which ONE of the following applies (regardless of whether the Essay score will be used</t>
  </si>
  <si>
    <t>Provide information for ALL enrolled, degree-seeking, full-time and part-time, first-time, first-year (freshman) students enrolled in Fall 2022, including students who began studies during summer, international students/nonresident aliens, and students admitted under special arrangements.</t>
  </si>
  <si>
    <t>Percent and number of first-time, first-year (freshman) students enrolled in Fall 2022 who submitted national standardized (SAT/ACT) test scores.</t>
  </si>
  <si>
    <t>Number of degrees awarded from July 1, 2021 to June 30, 2022</t>
  </si>
  <si>
    <t>50th Percentile</t>
  </si>
  <si>
    <t>FT Students</t>
  </si>
  <si>
    <t xml:space="preserve">For the cohort of all full-time bachelor’s (or equivalent) degree-seeking undergraduate students who entered your institution as freshmen in Fall 2021 (or the preceding summer term), what percentage was enrolled at your institution as of the date your institution calculates its official enrollment in Fall 2022? </t>
  </si>
  <si>
    <t>Report for the cohort of all full-time, first-time bachelor’s (or equivalent) degree-seeking undergraduate students who entered in Fall 2021 (or the preceding summer term). The initial cohort may be adjusted for students who departed for the following reasons: death, permanent disability, service in the armed forces, foreign aid service of the federal government or official church missions. No other adjustments to the initial cohort should be made.</t>
  </si>
  <si>
    <t>FT Fac</t>
  </si>
  <si>
    <t>PT Fac</t>
  </si>
  <si>
    <t>1/3 PT Fac</t>
  </si>
  <si>
    <t>Fall 2016 Cohort</t>
  </si>
  <si>
    <t>A -Initial 2016 cohort of first-time, full-time, bachelor's (or equivalent) degree-seeking undergraduate students</t>
  </si>
  <si>
    <t>B - Of the initial 2016 cohort, how many did not persist and did not graduate for the following reasons: 
• Deceased
• Permanently Disabled
• Armed Forces
• Foreign Aid Service of the Federal Government
• Official church missions
• Report Total Allowable Exclusions</t>
  </si>
  <si>
    <t>C - Final 2016 cohort, after adjusting for allowable exclusions</t>
  </si>
  <si>
    <t>D - Of the initial 2016 cohort, how many completed the program in four years or less (by Aug. 31, 2020)</t>
  </si>
  <si>
    <t>E - Of the initial 2016 cohort, how many completed the program in more than four years but in five years or less (after Aug. 31, 2020 and by Aug. 31, 2021)</t>
  </si>
  <si>
    <t>F - Of the initial 2016 cohort, how many completed the program in more than five years but in six years or less (after Aug. 31, 2021 and by Aug. 31, 2022)</t>
  </si>
  <si>
    <t>H - Six-year graduation rate for 2016 cohort (G divided by C)</t>
  </si>
  <si>
    <t>In the following section for bachelor’s or equivalent programs, please disaggregate the Fall 2016 cohorts into four groups: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</si>
</sst>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5" formatCode="&quot;$&quot;#,##0_);\(&quot;$&quot;#,##0\)"/>
    <numFmt numFmtId="44" formatCode="_(&quot;$&quot;* #,##0.00_);_(&quot;$&quot;* \(#,##0.00\);_(&quot;$&quot;* &quot;-&quot;??_);_(@_)"/>
    <numFmt numFmtId="43" formatCode="_(* #,##0.00_);_(* \(#,##0.00\);_(* &quot;-&quot;??_);_(@_)"/>
    <numFmt numFmtId="164" formatCode="#,##0.0_);\(#,##0.0\)"/>
    <numFmt numFmtId="165" formatCode="mmmm\ d\,\ yyyy"/>
    <numFmt numFmtId="166" formatCode="&quot;$&quot;#,##0.00"/>
    <numFmt numFmtId="167" formatCode="m/d"/>
    <numFmt numFmtId="168" formatCode="&quot;$&quot;#,##0"/>
    <numFmt numFmtId="169" formatCode="&quot;$&quot;#,##0;[Red]&quot;$&quot;#,##0"/>
    <numFmt numFmtId="170" formatCode="0.0%"/>
    <numFmt numFmtId="171" formatCode="_(&quot;$&quot;\ \ \ #,##0_);_(&quot;$&quot;* \(#,##0\);_(&quot;$&quot;* &quot;-&quot;??_);_(@_)"/>
    <numFmt numFmtId="172" formatCode="_(&quot;$&quot;\ \ \ #,##0_);_(&quot;$&quot;* \(#,##0\);_(&quot;$&quot;\ \ &quot;0&quot;??_);_(@_)"/>
    <numFmt numFmtId="173" formatCode="0.0"/>
  </numFmts>
  <fonts count="64" x14ac:knownFonts="1">
    <font>
      <sz val="10"/>
      <name val="Arial"/>
    </font>
    <font>
      <sz val="10"/>
      <name val="Arial"/>
      <family val="2"/>
    </font>
    <font>
      <b/>
      <sz val="14"/>
      <name val="Arial"/>
      <family val="2"/>
    </font>
    <font>
      <b/>
      <sz val="10"/>
      <name val="Arial"/>
      <family val="2"/>
    </font>
    <font>
      <sz val="10"/>
      <name val="Arial"/>
      <family val="2"/>
    </font>
    <font>
      <i/>
      <sz val="10"/>
      <name val="Arial"/>
      <family val="2"/>
    </font>
    <font>
      <b/>
      <sz val="9"/>
      <name val="Arial"/>
      <family val="2"/>
    </font>
    <font>
      <b/>
      <sz val="12"/>
      <name val="Arial"/>
      <family val="2"/>
    </font>
    <font>
      <sz val="8"/>
      <name val="Arial"/>
      <family val="2"/>
    </font>
    <font>
      <b/>
      <i/>
      <sz val="11"/>
      <name val="Arial"/>
      <family val="2"/>
    </font>
    <font>
      <sz val="10"/>
      <color indexed="8"/>
      <name val="Arial"/>
      <family val="2"/>
    </font>
    <font>
      <sz val="10"/>
      <name val="Times New Roman"/>
      <family val="1"/>
    </font>
    <font>
      <sz val="9"/>
      <color indexed="8"/>
      <name val="Times New Roman"/>
      <family val="1"/>
    </font>
    <font>
      <b/>
      <sz val="9"/>
      <color indexed="8"/>
      <name val="Times New Roman"/>
      <family val="1"/>
    </font>
    <font>
      <sz val="10"/>
      <color indexed="8"/>
      <name val="Times New Roman"/>
      <family val="1"/>
    </font>
    <font>
      <b/>
      <sz val="10"/>
      <color indexed="8"/>
      <name val="Arial"/>
      <family val="2"/>
    </font>
    <font>
      <sz val="9"/>
      <color indexed="8"/>
      <name val="Arial"/>
      <family val="2"/>
    </font>
    <font>
      <i/>
      <sz val="10"/>
      <color indexed="8"/>
      <name val="Arial"/>
      <family val="2"/>
    </font>
    <font>
      <sz val="9"/>
      <name val="Arial"/>
      <family val="2"/>
    </font>
    <font>
      <b/>
      <i/>
      <sz val="10"/>
      <name val="Arial"/>
      <family val="2"/>
    </font>
    <font>
      <u/>
      <sz val="9"/>
      <name val="Arial"/>
      <family val="2"/>
    </font>
    <font>
      <i/>
      <sz val="9"/>
      <name val="Arial"/>
      <family val="2"/>
    </font>
    <font>
      <u/>
      <sz val="10"/>
      <color indexed="12"/>
      <name val="Arial"/>
      <family val="2"/>
    </font>
    <font>
      <sz val="7"/>
      <name val="Arial"/>
      <family val="2"/>
    </font>
    <font>
      <sz val="10"/>
      <color indexed="13"/>
      <name val="Arial"/>
      <family val="2"/>
    </font>
    <font>
      <sz val="10"/>
      <color indexed="16"/>
      <name val="Arial"/>
      <family val="2"/>
    </font>
    <font>
      <b/>
      <i/>
      <sz val="8"/>
      <name val="Arial"/>
      <family val="2"/>
    </font>
    <font>
      <sz val="8"/>
      <color indexed="16"/>
      <name val="Arial"/>
      <family val="2"/>
    </font>
    <font>
      <sz val="11"/>
      <color rgb="FF9C0006"/>
      <name val="Calibri"/>
      <family val="2"/>
      <scheme val="minor"/>
    </font>
    <font>
      <b/>
      <sz val="10"/>
      <color theme="0"/>
      <name val="Arial"/>
      <family val="2"/>
    </font>
    <font>
      <sz val="10"/>
      <color theme="0"/>
      <name val="Arial"/>
      <family val="2"/>
    </font>
    <font>
      <sz val="8"/>
      <color rgb="FF222222"/>
      <name val="Arial"/>
      <family val="2"/>
    </font>
    <font>
      <sz val="7"/>
      <color rgb="FF222222"/>
      <name val="Arial"/>
      <family val="2"/>
    </font>
    <font>
      <b/>
      <sz val="10"/>
      <color theme="5" tint="-0.499984740745262"/>
      <name val="Arial"/>
      <family val="2"/>
    </font>
    <font>
      <b/>
      <sz val="12"/>
      <color theme="5" tint="-0.499984740745262"/>
      <name val="Arial"/>
      <family val="2"/>
    </font>
    <font>
      <b/>
      <sz val="14"/>
      <color theme="5" tint="-0.499984740745262"/>
      <name val="Arial"/>
      <family val="2"/>
    </font>
    <font>
      <b/>
      <i/>
      <sz val="10"/>
      <color theme="5" tint="-0.499984740745262"/>
      <name val="Arial"/>
      <family val="2"/>
    </font>
    <font>
      <sz val="10"/>
      <color theme="5" tint="-0.499984740745262"/>
      <name val="Arial"/>
      <family val="2"/>
    </font>
    <font>
      <sz val="9"/>
      <color theme="5" tint="-0.499984740745262"/>
      <name val="Arial"/>
      <family val="2"/>
    </font>
    <font>
      <sz val="11"/>
      <name val="Calibri"/>
      <family val="2"/>
      <scheme val="minor"/>
    </font>
    <font>
      <sz val="11"/>
      <color indexed="8"/>
      <name val="Calibri"/>
      <family val="2"/>
      <scheme val="minor"/>
    </font>
    <font>
      <sz val="11"/>
      <color theme="0" tint="-0.499984740745262"/>
      <name val="Calibri"/>
      <family val="2"/>
      <scheme val="minor"/>
    </font>
    <font>
      <b/>
      <sz val="11"/>
      <color theme="5" tint="-0.499984740745262"/>
      <name val="Calibri"/>
      <family val="2"/>
      <scheme val="minor"/>
    </font>
    <font>
      <b/>
      <sz val="8"/>
      <color theme="5" tint="-0.499984740745262"/>
      <name val="Arial"/>
      <family val="2"/>
    </font>
    <font>
      <b/>
      <sz val="9"/>
      <color theme="5" tint="-0.499984740745262"/>
      <name val="Arial"/>
      <family val="2"/>
    </font>
    <font>
      <b/>
      <i/>
      <sz val="11"/>
      <color theme="5" tint="-0.499984740745262"/>
      <name val="Arial"/>
      <family val="2"/>
    </font>
    <font>
      <sz val="11"/>
      <color theme="5" tint="-0.499984740745262"/>
      <name val="Calibri"/>
      <family val="2"/>
      <scheme val="minor"/>
    </font>
    <font>
      <b/>
      <i/>
      <sz val="10"/>
      <color theme="0"/>
      <name val="Arial"/>
      <family val="2"/>
    </font>
    <font>
      <sz val="10"/>
      <color rgb="FF000000"/>
      <name val="Times New Roman"/>
      <family val="1"/>
    </font>
    <font>
      <b/>
      <sz val="9"/>
      <color theme="5" tint="-0.499984740745262"/>
      <name val="Times New Roman"/>
      <family val="1"/>
    </font>
    <font>
      <b/>
      <sz val="11"/>
      <name val="Calibri"/>
      <family val="2"/>
      <scheme val="minor"/>
    </font>
    <font>
      <b/>
      <u/>
      <sz val="10"/>
      <color theme="5" tint="-0.499984740745262"/>
      <name val="Arial"/>
      <family val="2"/>
    </font>
    <font>
      <b/>
      <sz val="11"/>
      <color theme="5" tint="-0.499984740745262"/>
      <name val="Arial"/>
      <family val="2"/>
    </font>
    <font>
      <sz val="10"/>
      <color rgb="FF000000"/>
      <name val="Arial"/>
      <family val="2"/>
    </font>
    <font>
      <sz val="10"/>
      <color rgb="FFFF0000"/>
      <name val="Arial"/>
      <family val="2"/>
    </font>
    <font>
      <b/>
      <sz val="10"/>
      <color rgb="FFFF0000"/>
      <name val="Arial"/>
      <family val="2"/>
    </font>
    <font>
      <b/>
      <i/>
      <sz val="10"/>
      <color indexed="8"/>
      <name val="Arial"/>
      <family val="2"/>
    </font>
    <font>
      <u/>
      <sz val="10"/>
      <name val="Arial"/>
      <family val="2"/>
    </font>
    <font>
      <sz val="10"/>
      <color theme="0"/>
      <name val="Times New Roman"/>
      <family val="1"/>
    </font>
    <font>
      <b/>
      <sz val="9"/>
      <color theme="0"/>
      <name val="Times New Roman"/>
      <family val="1"/>
    </font>
    <font>
      <sz val="9"/>
      <color theme="0"/>
      <name val="Times New Roman"/>
      <family val="1"/>
    </font>
    <font>
      <b/>
      <sz val="10"/>
      <color theme="0"/>
      <name val="Times New Roman"/>
      <family val="1"/>
    </font>
    <font>
      <sz val="9"/>
      <color theme="5" tint="-0.499984740745262"/>
      <name val="Times New Roman"/>
      <family val="1"/>
    </font>
    <font>
      <sz val="9"/>
      <color theme="0"/>
      <name val="Arial"/>
      <family val="2"/>
    </font>
  </fonts>
  <fills count="11">
    <fill>
      <patternFill patternType="none"/>
    </fill>
    <fill>
      <patternFill patternType="gray125"/>
    </fill>
    <fill>
      <patternFill patternType="solid">
        <fgColor indexed="22"/>
        <bgColor indexed="64"/>
      </patternFill>
    </fill>
    <fill>
      <patternFill patternType="solid">
        <fgColor indexed="9"/>
        <bgColor indexed="64"/>
      </patternFill>
    </fill>
    <fill>
      <patternFill patternType="solid">
        <fgColor rgb="FFFFC7CE"/>
      </patternFill>
    </fill>
    <fill>
      <patternFill patternType="solid">
        <fgColor theme="0" tint="-0.249977111117893"/>
        <bgColor indexed="64"/>
      </patternFill>
    </fill>
    <fill>
      <patternFill patternType="solid">
        <fgColor theme="0" tint="-0.14999847407452621"/>
        <bgColor indexed="64"/>
      </patternFill>
    </fill>
    <fill>
      <patternFill patternType="solid">
        <fgColor theme="0"/>
        <bgColor indexed="64"/>
      </patternFill>
    </fill>
    <fill>
      <patternFill patternType="solid">
        <fgColor theme="7" tint="0.59999389629810485"/>
        <bgColor indexed="64"/>
      </patternFill>
    </fill>
    <fill>
      <patternFill patternType="solid">
        <fgColor theme="0" tint="-0.34998626667073579"/>
        <bgColor indexed="64"/>
      </patternFill>
    </fill>
    <fill>
      <patternFill patternType="solid">
        <fgColor theme="6" tint="0.59999389629810485"/>
        <bgColor indexed="64"/>
      </patternFill>
    </fill>
  </fills>
  <borders count="43">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bottom/>
      <diagonal/>
    </border>
    <border>
      <left/>
      <right style="thin">
        <color indexed="64"/>
      </right>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bottom/>
      <diagonal/>
    </border>
    <border>
      <left/>
      <right/>
      <top style="thin">
        <color indexed="64"/>
      </top>
      <bottom/>
      <diagonal/>
    </border>
    <border>
      <left style="thin">
        <color indexed="64"/>
      </left>
      <right style="thin">
        <color indexed="64"/>
      </right>
      <top/>
      <bottom/>
      <diagonal/>
    </border>
    <border>
      <left style="thin">
        <color indexed="64"/>
      </left>
      <right style="thin">
        <color indexed="64"/>
      </right>
      <top style="double">
        <color indexed="64"/>
      </top>
      <bottom style="double">
        <color indexed="64"/>
      </bottom>
      <diagonal/>
    </border>
    <border>
      <left style="medium">
        <color indexed="64"/>
      </left>
      <right style="medium">
        <color indexed="64"/>
      </right>
      <top style="thin">
        <color indexed="64"/>
      </top>
      <bottom style="medium">
        <color indexed="64"/>
      </bottom>
      <diagonal/>
    </border>
    <border>
      <left style="medium">
        <color indexed="64"/>
      </left>
      <right/>
      <top style="thin">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style="thin">
        <color indexed="64"/>
      </bottom>
      <diagonal/>
    </border>
    <border>
      <left/>
      <right style="thin">
        <color indexed="64"/>
      </right>
      <top style="double">
        <color indexed="64"/>
      </top>
      <bottom style="double">
        <color indexed="64"/>
      </bottom>
      <diagonal/>
    </border>
    <border>
      <left style="thin">
        <color indexed="64"/>
      </left>
      <right/>
      <top style="double">
        <color indexed="64"/>
      </top>
      <bottom style="double">
        <color indexed="64"/>
      </bottom>
      <diagonal/>
    </border>
    <border>
      <left/>
      <right/>
      <top style="double">
        <color indexed="64"/>
      </top>
      <bottom style="double">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theme="0" tint="-0.499984740745262"/>
      </left>
      <right style="thin">
        <color theme="0" tint="-0.499984740745262"/>
      </right>
      <top style="thin">
        <color indexed="64"/>
      </top>
      <bottom style="thin">
        <color indexed="64"/>
      </bottom>
      <diagonal/>
    </border>
    <border>
      <left style="thin">
        <color theme="0" tint="-0.499984740745262"/>
      </left>
      <right/>
      <top style="thin">
        <color indexed="64"/>
      </top>
      <bottom style="thin">
        <color indexed="64"/>
      </bottom>
      <diagonal/>
    </border>
    <border>
      <left/>
      <right style="medium">
        <color indexed="64"/>
      </right>
      <top/>
      <bottom/>
      <diagonal/>
    </border>
    <border>
      <left/>
      <right/>
      <top style="medium">
        <color indexed="64"/>
      </top>
      <bottom style="medium">
        <color indexed="64"/>
      </bottom>
      <diagonal/>
    </border>
    <border>
      <left style="thin">
        <color indexed="64"/>
      </left>
      <right style="thin">
        <color indexed="64"/>
      </right>
      <top style="double">
        <color indexed="64"/>
      </top>
      <bottom style="thin">
        <color indexed="64"/>
      </bottom>
      <diagonal/>
    </border>
    <border>
      <left/>
      <right/>
      <top/>
      <bottom style="medium">
        <color indexed="64"/>
      </bottom>
      <diagonal/>
    </border>
    <border>
      <left/>
      <right/>
      <top/>
      <bottom style="thin">
        <color rgb="FF000000"/>
      </bottom>
      <diagonal/>
    </border>
  </borders>
  <cellStyleXfs count="7">
    <xf numFmtId="0" fontId="0" fillId="0" borderId="0"/>
    <xf numFmtId="0" fontId="28" fillId="4" borderId="0" applyNumberFormat="0" applyBorder="0" applyAlignment="0" applyProtection="0"/>
    <xf numFmtId="43" fontId="1" fillId="0" borderId="0" applyFont="0" applyFill="0" applyBorder="0" applyAlignment="0" applyProtection="0"/>
    <xf numFmtId="44" fontId="1" fillId="0" borderId="0" applyFont="0" applyFill="0" applyBorder="0" applyAlignment="0" applyProtection="0"/>
    <xf numFmtId="0" fontId="22" fillId="0" borderId="0" applyNumberFormat="0" applyFill="0" applyBorder="0" applyAlignment="0" applyProtection="0">
      <alignment vertical="top"/>
      <protection locked="0"/>
    </xf>
    <xf numFmtId="9" fontId="1" fillId="0" borderId="0" applyFont="0" applyFill="0" applyBorder="0" applyAlignment="0" applyProtection="0"/>
    <xf numFmtId="0" fontId="1" fillId="0" borderId="0"/>
  </cellStyleXfs>
  <cellXfs count="748">
    <xf numFmtId="0" fontId="0" fillId="0" borderId="0" xfId="0"/>
    <xf numFmtId="0" fontId="35" fillId="9" borderId="0" xfId="0" applyFont="1" applyFill="1" applyAlignment="1" applyProtection="1">
      <alignment horizontal="center" vertical="center"/>
      <protection hidden="1"/>
    </xf>
    <xf numFmtId="0" fontId="0" fillId="0" borderId="0" xfId="0" applyProtection="1">
      <protection hidden="1"/>
    </xf>
    <xf numFmtId="0" fontId="0" fillId="0" borderId="0" xfId="0" applyAlignment="1" applyProtection="1">
      <alignment horizontal="left" vertical="top"/>
      <protection hidden="1"/>
    </xf>
    <xf numFmtId="0" fontId="0" fillId="0" borderId="0" xfId="0" applyAlignment="1" applyProtection="1">
      <alignment horizontal="left" vertical="top" wrapText="1"/>
      <protection hidden="1"/>
    </xf>
    <xf numFmtId="0" fontId="3" fillId="0" borderId="0" xfId="0" applyFont="1" applyAlignment="1" applyProtection="1">
      <alignment horizontal="left" vertical="top"/>
      <protection hidden="1"/>
    </xf>
    <xf numFmtId="0" fontId="3" fillId="0" borderId="0" xfId="0" applyFont="1" applyProtection="1">
      <protection hidden="1"/>
    </xf>
    <xf numFmtId="0" fontId="0" fillId="0" borderId="0" xfId="0" applyAlignment="1" applyProtection="1">
      <alignment horizontal="left" vertical="top" wrapText="1"/>
      <protection hidden="1"/>
    </xf>
    <xf numFmtId="0" fontId="0" fillId="0" borderId="6" xfId="0" applyBorder="1" applyProtection="1">
      <protection hidden="1"/>
    </xf>
    <xf numFmtId="0" fontId="0" fillId="0" borderId="5" xfId="0" applyBorder="1" applyAlignment="1" applyProtection="1">
      <alignment horizontal="left" vertical="top" wrapText="1"/>
      <protection hidden="1"/>
    </xf>
    <xf numFmtId="0" fontId="33" fillId="0" borderId="5" xfId="0" applyFont="1" applyBorder="1" applyAlignment="1" applyProtection="1">
      <alignment horizontal="left" vertical="top" wrapText="1"/>
      <protection hidden="1"/>
    </xf>
    <xf numFmtId="0" fontId="0" fillId="0" borderId="6" xfId="0" applyBorder="1" applyAlignment="1" applyProtection="1">
      <alignment vertical="center"/>
      <protection hidden="1"/>
    </xf>
    <xf numFmtId="0" fontId="0" fillId="0" borderId="5" xfId="0" applyBorder="1" applyAlignment="1" applyProtection="1">
      <alignment horizontal="left" vertical="center" wrapText="1"/>
      <protection hidden="1"/>
    </xf>
    <xf numFmtId="0" fontId="33" fillId="0" borderId="5" xfId="0" applyFont="1" applyBorder="1" applyAlignment="1" applyProtection="1">
      <alignment horizontal="left" vertical="center" wrapText="1"/>
      <protection hidden="1"/>
    </xf>
    <xf numFmtId="0" fontId="0" fillId="0" borderId="7" xfId="0" applyBorder="1" applyProtection="1">
      <protection hidden="1"/>
    </xf>
    <xf numFmtId="0" fontId="0" fillId="0" borderId="13" xfId="0" applyBorder="1" applyAlignment="1" applyProtection="1">
      <alignment horizontal="left" vertical="top" wrapText="1"/>
      <protection hidden="1"/>
    </xf>
    <xf numFmtId="0" fontId="0" fillId="0" borderId="5" xfId="0" applyBorder="1" applyAlignment="1" applyProtection="1">
      <alignment horizontal="center"/>
      <protection hidden="1"/>
    </xf>
    <xf numFmtId="0" fontId="0" fillId="0" borderId="1" xfId="0" applyBorder="1" applyAlignment="1" applyProtection="1">
      <alignment horizontal="center"/>
      <protection hidden="1"/>
    </xf>
    <xf numFmtId="49" fontId="33" fillId="0" borderId="1" xfId="0" applyNumberFormat="1" applyFont="1" applyBorder="1" applyAlignment="1" applyProtection="1">
      <alignment horizontal="center" vertical="center"/>
      <protection hidden="1"/>
    </xf>
    <xf numFmtId="0" fontId="4" fillId="0" borderId="1" xfId="0" applyFont="1" applyBorder="1" applyAlignment="1" applyProtection="1">
      <alignment horizontal="center"/>
      <protection hidden="1"/>
    </xf>
    <xf numFmtId="0" fontId="1" fillId="0" borderId="10" xfId="0" applyFont="1" applyBorder="1" applyProtection="1">
      <protection hidden="1"/>
    </xf>
    <xf numFmtId="0" fontId="1" fillId="0" borderId="14" xfId="0" applyFont="1" applyBorder="1" applyAlignment="1" applyProtection="1">
      <alignment horizontal="left" vertical="top" wrapText="1"/>
      <protection hidden="1"/>
    </xf>
    <xf numFmtId="0" fontId="1" fillId="0" borderId="11" xfId="0" applyFont="1" applyBorder="1" applyAlignment="1" applyProtection="1">
      <alignment horizontal="left" vertical="top" wrapText="1"/>
      <protection hidden="1"/>
    </xf>
    <xf numFmtId="0" fontId="22" fillId="0" borderId="4" xfId="4" applyBorder="1" applyAlignment="1" applyProtection="1">
      <protection hidden="1"/>
    </xf>
    <xf numFmtId="0" fontId="0" fillId="0" borderId="2" xfId="0" applyBorder="1" applyProtection="1">
      <protection hidden="1"/>
    </xf>
    <xf numFmtId="0" fontId="0" fillId="0" borderId="8" xfId="0" applyBorder="1" applyProtection="1">
      <protection hidden="1"/>
    </xf>
    <xf numFmtId="0" fontId="1" fillId="0" borderId="0" xfId="0" applyFont="1" applyProtection="1">
      <protection hidden="1"/>
    </xf>
    <xf numFmtId="0" fontId="1" fillId="0" borderId="0" xfId="0" applyFont="1" applyAlignment="1" applyProtection="1">
      <alignment horizontal="left" vertical="top" wrapText="1"/>
      <protection hidden="1"/>
    </xf>
    <xf numFmtId="0" fontId="1" fillId="0" borderId="0" xfId="0" applyFont="1" applyAlignment="1" applyProtection="1">
      <alignment horizontal="left" vertical="top" wrapText="1"/>
      <protection hidden="1"/>
    </xf>
    <xf numFmtId="0" fontId="4" fillId="0" borderId="6" xfId="0" applyFont="1" applyBorder="1" applyAlignment="1" applyProtection="1">
      <alignment horizontal="left" vertical="top" wrapText="1"/>
      <protection hidden="1"/>
    </xf>
    <xf numFmtId="0" fontId="1" fillId="0" borderId="9" xfId="0" applyFont="1" applyBorder="1" applyAlignment="1" applyProtection="1">
      <alignment horizontal="left" vertical="top" wrapText="1"/>
      <protection hidden="1"/>
    </xf>
    <xf numFmtId="0" fontId="1" fillId="0" borderId="5" xfId="0" applyFont="1" applyBorder="1" applyAlignment="1" applyProtection="1">
      <alignment horizontal="left" vertical="top" wrapText="1"/>
      <protection hidden="1"/>
    </xf>
    <xf numFmtId="0" fontId="3" fillId="0" borderId="2" xfId="0" applyFont="1" applyBorder="1" applyProtection="1">
      <protection hidden="1"/>
    </xf>
    <xf numFmtId="0" fontId="0" fillId="0" borderId="2" xfId="0" applyBorder="1" applyAlignment="1" applyProtection="1">
      <alignment horizontal="left" vertical="top" wrapText="1"/>
      <protection hidden="1"/>
    </xf>
    <xf numFmtId="0" fontId="0" fillId="0" borderId="1" xfId="0" applyBorder="1" applyProtection="1">
      <protection hidden="1"/>
    </xf>
    <xf numFmtId="0" fontId="33" fillId="0" borderId="1" xfId="0" applyFont="1" applyBorder="1" applyAlignment="1" applyProtection="1">
      <alignment horizontal="left" vertical="top" wrapText="1"/>
      <protection hidden="1"/>
    </xf>
    <xf numFmtId="0" fontId="33" fillId="0" borderId="3" xfId="0" applyFont="1" applyBorder="1" applyAlignment="1" applyProtection="1">
      <alignment horizontal="left" vertical="top" wrapText="1"/>
      <protection hidden="1"/>
    </xf>
    <xf numFmtId="0" fontId="4" fillId="0" borderId="1" xfId="0" applyFont="1" applyBorder="1" applyAlignment="1" applyProtection="1">
      <alignment horizontal="left" wrapText="1"/>
      <protection hidden="1"/>
    </xf>
    <xf numFmtId="0" fontId="0" fillId="0" borderId="1" xfId="0" applyBorder="1" applyAlignment="1" applyProtection="1">
      <alignment wrapText="1"/>
      <protection hidden="1"/>
    </xf>
    <xf numFmtId="0" fontId="33" fillId="0" borderId="6" xfId="0" applyFont="1" applyBorder="1" applyAlignment="1" applyProtection="1">
      <alignment horizontal="left" vertical="top" wrapText="1"/>
      <protection hidden="1"/>
    </xf>
    <xf numFmtId="0" fontId="33" fillId="0" borderId="5" xfId="0" applyFont="1" applyBorder="1" applyAlignment="1" applyProtection="1">
      <alignment horizontal="left" vertical="top" wrapText="1"/>
      <protection hidden="1"/>
    </xf>
    <xf numFmtId="0" fontId="4" fillId="0" borderId="1" xfId="0" applyFont="1" applyBorder="1" applyAlignment="1" applyProtection="1">
      <alignment wrapText="1"/>
      <protection hidden="1"/>
    </xf>
    <xf numFmtId="0" fontId="51" fillId="0" borderId="1" xfId="4" applyFont="1" applyBorder="1" applyAlignment="1" applyProtection="1">
      <alignment horizontal="left" vertical="top" wrapText="1"/>
      <protection hidden="1"/>
    </xf>
    <xf numFmtId="0" fontId="33" fillId="0" borderId="10" xfId="0" applyFont="1" applyBorder="1" applyAlignment="1" applyProtection="1">
      <alignment horizontal="left" vertical="top" wrapText="1"/>
      <protection hidden="1"/>
    </xf>
    <xf numFmtId="0" fontId="33" fillId="0" borderId="11" xfId="0" applyFont="1" applyBorder="1" applyAlignment="1" applyProtection="1">
      <alignment horizontal="left" vertical="top" wrapText="1"/>
      <protection hidden="1"/>
    </xf>
    <xf numFmtId="0" fontId="4" fillId="0" borderId="1" xfId="0" applyFont="1" applyBorder="1" applyProtection="1">
      <protection hidden="1"/>
    </xf>
    <xf numFmtId="0" fontId="51" fillId="0" borderId="1" xfId="4" applyFont="1" applyFill="1" applyBorder="1" applyAlignment="1" applyProtection="1">
      <alignment horizontal="left" vertical="top" wrapText="1"/>
      <protection hidden="1"/>
    </xf>
    <xf numFmtId="0" fontId="11" fillId="0" borderId="0" xfId="0" applyFont="1" applyAlignment="1" applyProtection="1">
      <alignment horizontal="left" wrapText="1" indent="2"/>
      <protection hidden="1"/>
    </xf>
    <xf numFmtId="0" fontId="22" fillId="0" borderId="6" xfId="4" applyFill="1" applyBorder="1" applyAlignment="1" applyProtection="1">
      <alignment horizontal="left" wrapText="1"/>
      <protection hidden="1"/>
    </xf>
    <xf numFmtId="0" fontId="22" fillId="0" borderId="5" xfId="4" applyFill="1" applyBorder="1" applyAlignment="1" applyProtection="1">
      <alignment horizontal="left" wrapText="1"/>
      <protection hidden="1"/>
    </xf>
    <xf numFmtId="0" fontId="14" fillId="0" borderId="0" xfId="0" applyFont="1" applyAlignment="1" applyProtection="1">
      <alignment horizontal="left" wrapText="1" indent="2"/>
      <protection hidden="1"/>
    </xf>
    <xf numFmtId="0" fontId="10" fillId="0" borderId="1" xfId="4" applyFont="1" applyBorder="1" applyAlignment="1" applyProtection="1">
      <alignment horizontal="left" vertical="top" wrapText="1"/>
      <protection hidden="1"/>
    </xf>
    <xf numFmtId="0" fontId="0" fillId="0" borderId="1" xfId="0" applyBorder="1" applyAlignment="1" applyProtection="1">
      <alignment horizontal="left" vertical="top" wrapText="1"/>
      <protection hidden="1"/>
    </xf>
    <xf numFmtId="0" fontId="3" fillId="0" borderId="0" xfId="0" applyFont="1" applyAlignment="1" applyProtection="1">
      <alignment horizontal="left" vertical="center"/>
      <protection hidden="1"/>
    </xf>
    <xf numFmtId="0" fontId="3" fillId="0" borderId="0" xfId="0" applyFont="1" applyAlignment="1" applyProtection="1">
      <alignment horizontal="left" vertical="center" wrapText="1"/>
      <protection hidden="1"/>
    </xf>
    <xf numFmtId="0" fontId="0" fillId="0" borderId="0" xfId="0" applyProtection="1">
      <protection hidden="1"/>
    </xf>
    <xf numFmtId="49" fontId="4" fillId="0" borderId="1" xfId="0" applyNumberFormat="1" applyFont="1" applyBorder="1" applyAlignment="1" applyProtection="1">
      <alignment horizontal="center" vertical="center"/>
      <protection hidden="1"/>
    </xf>
    <xf numFmtId="14" fontId="0" fillId="0" borderId="0" xfId="0" quotePrefix="1" applyNumberFormat="1" applyProtection="1">
      <protection hidden="1"/>
    </xf>
    <xf numFmtId="49" fontId="4" fillId="0" borderId="1" xfId="0" quotePrefix="1" applyNumberFormat="1" applyFont="1" applyBorder="1" applyAlignment="1" applyProtection="1">
      <alignment horizontal="center" vertical="center"/>
      <protection hidden="1"/>
    </xf>
    <xf numFmtId="49" fontId="4" fillId="0" borderId="1" xfId="0" applyNumberFormat="1" applyFont="1" applyBorder="1" applyProtection="1">
      <protection hidden="1"/>
    </xf>
    <xf numFmtId="0" fontId="4" fillId="0" borderId="3" xfId="0" applyFont="1" applyBorder="1" applyProtection="1">
      <protection hidden="1"/>
    </xf>
    <xf numFmtId="0" fontId="4" fillId="0" borderId="4" xfId="0" applyFont="1" applyBorder="1" applyProtection="1">
      <protection hidden="1"/>
    </xf>
    <xf numFmtId="49" fontId="0" fillId="0" borderId="5" xfId="0" quotePrefix="1" applyNumberFormat="1" applyBorder="1" applyAlignment="1" applyProtection="1">
      <alignment horizontal="center" vertical="center"/>
      <protection hidden="1"/>
    </xf>
    <xf numFmtId="0" fontId="3" fillId="0" borderId="4" xfId="0" applyFont="1" applyBorder="1" applyProtection="1">
      <protection hidden="1"/>
    </xf>
    <xf numFmtId="14" fontId="0" fillId="0" borderId="5" xfId="0" quotePrefix="1" applyNumberFormat="1" applyBorder="1" applyProtection="1">
      <protection hidden="1"/>
    </xf>
    <xf numFmtId="49" fontId="0" fillId="0" borderId="1" xfId="0" applyNumberFormat="1" applyBorder="1" applyAlignment="1" applyProtection="1">
      <alignment horizontal="center" vertical="center"/>
      <protection hidden="1"/>
    </xf>
    <xf numFmtId="0" fontId="1" fillId="0" borderId="1" xfId="0" applyFont="1" applyBorder="1" applyProtection="1">
      <protection hidden="1"/>
    </xf>
    <xf numFmtId="0" fontId="1" fillId="0" borderId="1" xfId="0" applyFont="1" applyBorder="1" applyAlignment="1" applyProtection="1">
      <alignment wrapText="1"/>
      <protection hidden="1"/>
    </xf>
    <xf numFmtId="0" fontId="29" fillId="0" borderId="0" xfId="0" applyFont="1" applyAlignment="1" applyProtection="1">
      <alignment horizontal="left" vertical="top"/>
      <protection hidden="1"/>
    </xf>
    <xf numFmtId="0" fontId="30" fillId="0" borderId="14" xfId="0" applyFont="1" applyBorder="1" applyProtection="1">
      <protection hidden="1"/>
    </xf>
    <xf numFmtId="49" fontId="30" fillId="0" borderId="14" xfId="0" applyNumberFormat="1" applyFont="1" applyBorder="1" applyAlignment="1" applyProtection="1">
      <alignment horizontal="center" vertical="center"/>
      <protection hidden="1"/>
    </xf>
    <xf numFmtId="0" fontId="30" fillId="0" borderId="0" xfId="0" applyFont="1" applyAlignment="1" applyProtection="1">
      <alignment horizontal="left" vertical="top"/>
      <protection hidden="1"/>
    </xf>
    <xf numFmtId="0" fontId="30" fillId="0" borderId="0" xfId="0" applyFont="1" applyProtection="1">
      <protection hidden="1"/>
    </xf>
    <xf numFmtId="0" fontId="4" fillId="0" borderId="0" xfId="0" applyFont="1" applyAlignment="1" applyProtection="1">
      <alignment horizontal="left" vertical="center" wrapText="1"/>
      <protection hidden="1"/>
    </xf>
    <xf numFmtId="0" fontId="1" fillId="0" borderId="0" xfId="0" applyFont="1" applyProtection="1">
      <protection hidden="1"/>
    </xf>
    <xf numFmtId="0" fontId="3" fillId="0" borderId="2" xfId="0" applyFont="1" applyBorder="1" applyAlignment="1" applyProtection="1">
      <alignment horizontal="left" vertical="center" wrapText="1"/>
      <protection hidden="1"/>
    </xf>
    <xf numFmtId="0" fontId="4" fillId="0" borderId="2" xfId="0" applyFont="1" applyBorder="1" applyAlignment="1" applyProtection="1">
      <alignment horizontal="left" vertical="center" wrapText="1"/>
      <protection hidden="1"/>
    </xf>
    <xf numFmtId="0" fontId="0" fillId="5" borderId="1" xfId="0" applyFill="1" applyBorder="1" applyAlignment="1" applyProtection="1">
      <alignment vertical="center"/>
      <protection hidden="1"/>
    </xf>
    <xf numFmtId="0" fontId="33" fillId="5" borderId="1" xfId="0" applyFont="1" applyFill="1" applyBorder="1" applyAlignment="1" applyProtection="1">
      <alignment horizontal="center" vertical="center"/>
      <protection hidden="1"/>
    </xf>
    <xf numFmtId="0" fontId="3" fillId="0" borderId="1" xfId="0" applyFont="1" applyBorder="1" applyAlignment="1" applyProtection="1">
      <alignment horizontal="center" vertical="center"/>
      <protection hidden="1"/>
    </xf>
    <xf numFmtId="0" fontId="33" fillId="5" borderId="1" xfId="0" applyFont="1" applyFill="1" applyBorder="1" applyAlignment="1" applyProtection="1">
      <alignment vertical="center"/>
      <protection hidden="1"/>
    </xf>
    <xf numFmtId="0" fontId="3" fillId="5" borderId="1" xfId="0" applyFont="1" applyFill="1" applyBorder="1" applyAlignment="1" applyProtection="1">
      <alignment horizontal="center" vertical="center"/>
      <protection hidden="1"/>
    </xf>
    <xf numFmtId="0" fontId="0" fillId="0" borderId="1" xfId="0" applyBorder="1" applyAlignment="1" applyProtection="1">
      <alignment vertical="center" wrapText="1"/>
      <protection hidden="1"/>
    </xf>
    <xf numFmtId="0" fontId="37" fillId="0" borderId="0" xfId="0" applyFont="1" applyProtection="1">
      <protection hidden="1"/>
    </xf>
    <xf numFmtId="37" fontId="37" fillId="0" borderId="1" xfId="2" applyNumberFormat="1" applyFont="1" applyBorder="1" applyAlignment="1" applyProtection="1">
      <alignment horizontal="right"/>
      <protection hidden="1"/>
    </xf>
    <xf numFmtId="37" fontId="30" fillId="0" borderId="0" xfId="0" applyNumberFormat="1" applyFont="1" applyProtection="1">
      <protection hidden="1"/>
    </xf>
    <xf numFmtId="0" fontId="0" fillId="0" borderId="1" xfId="0" applyBorder="1" applyAlignment="1" applyProtection="1">
      <alignment vertical="center"/>
      <protection hidden="1"/>
    </xf>
    <xf numFmtId="0" fontId="19" fillId="0" borderId="1" xfId="0" applyFont="1" applyBorder="1" applyAlignment="1" applyProtection="1">
      <alignment vertical="center"/>
      <protection hidden="1"/>
    </xf>
    <xf numFmtId="37" fontId="3" fillId="0" borderId="1" xfId="2" applyNumberFormat="1" applyFont="1" applyBorder="1" applyAlignment="1" applyProtection="1">
      <alignment horizontal="right"/>
      <protection hidden="1"/>
    </xf>
    <xf numFmtId="0" fontId="29" fillId="0" borderId="0" xfId="0" applyFont="1" applyProtection="1">
      <protection hidden="1"/>
    </xf>
    <xf numFmtId="0" fontId="36" fillId="0" borderId="1" xfId="0" applyFont="1" applyBorder="1" applyAlignment="1" applyProtection="1">
      <alignment vertical="center"/>
      <protection hidden="1"/>
    </xf>
    <xf numFmtId="37" fontId="33" fillId="0" borderId="1" xfId="2" applyNumberFormat="1" applyFont="1" applyBorder="1" applyAlignment="1" applyProtection="1">
      <alignment horizontal="right"/>
      <protection hidden="1"/>
    </xf>
    <xf numFmtId="37" fontId="29" fillId="0" borderId="0" xfId="0" applyNumberFormat="1" applyFont="1" applyProtection="1">
      <protection hidden="1"/>
    </xf>
    <xf numFmtId="0" fontId="5" fillId="2" borderId="1" xfId="0" applyFont="1" applyFill="1" applyBorder="1" applyAlignment="1" applyProtection="1">
      <alignment horizontal="right"/>
      <protection hidden="1"/>
    </xf>
    <xf numFmtId="0" fontId="4" fillId="0" borderId="1" xfId="0" applyFont="1" applyBorder="1" applyAlignment="1" applyProtection="1">
      <alignment vertical="center"/>
      <protection hidden="1"/>
    </xf>
    <xf numFmtId="0" fontId="37" fillId="0" borderId="1" xfId="0" applyFont="1" applyBorder="1" applyAlignment="1" applyProtection="1">
      <alignment horizontal="right"/>
      <protection hidden="1"/>
    </xf>
    <xf numFmtId="0" fontId="4" fillId="0" borderId="1" xfId="0" applyFont="1" applyBorder="1" applyAlignment="1" applyProtection="1">
      <alignment vertical="center" wrapText="1"/>
      <protection hidden="1"/>
    </xf>
    <xf numFmtId="0" fontId="33" fillId="0" borderId="1" xfId="0" applyFont="1" applyBorder="1" applyAlignment="1" applyProtection="1">
      <alignment horizontal="right"/>
      <protection hidden="1"/>
    </xf>
    <xf numFmtId="0" fontId="47" fillId="0" borderId="0" xfId="0" applyFont="1" applyAlignment="1" applyProtection="1">
      <alignment vertical="center"/>
      <protection hidden="1"/>
    </xf>
    <xf numFmtId="0" fontId="3" fillId="0" borderId="7" xfId="0" applyFont="1" applyBorder="1" applyProtection="1">
      <protection hidden="1"/>
    </xf>
    <xf numFmtId="37" fontId="0" fillId="0" borderId="0" xfId="0" applyNumberFormat="1" applyProtection="1">
      <protection hidden="1"/>
    </xf>
    <xf numFmtId="37" fontId="33" fillId="0" borderId="8" xfId="2" applyNumberFormat="1" applyFont="1" applyBorder="1" applyAlignment="1" applyProtection="1">
      <alignment horizontal="right"/>
      <protection hidden="1"/>
    </xf>
    <xf numFmtId="0" fontId="3" fillId="0" borderId="7" xfId="0" applyFont="1" applyBorder="1" applyProtection="1">
      <protection hidden="1"/>
    </xf>
    <xf numFmtId="0" fontId="3" fillId="0" borderId="0" xfId="0" applyFont="1" applyProtection="1">
      <protection hidden="1"/>
    </xf>
    <xf numFmtId="37" fontId="33" fillId="0" borderId="11" xfId="0" applyNumberFormat="1" applyFont="1" applyBorder="1" applyAlignment="1" applyProtection="1">
      <alignment horizontal="right"/>
      <protection hidden="1"/>
    </xf>
    <xf numFmtId="0" fontId="33" fillId="5" borderId="32" xfId="0" applyFont="1" applyFill="1" applyBorder="1" applyProtection="1">
      <protection hidden="1"/>
    </xf>
    <xf numFmtId="0" fontId="33" fillId="5" borderId="33" xfId="0" applyFont="1" applyFill="1" applyBorder="1" applyProtection="1">
      <protection hidden="1"/>
    </xf>
    <xf numFmtId="37" fontId="33" fillId="5" borderId="31" xfId="2" applyNumberFormat="1" applyFont="1" applyFill="1" applyBorder="1" applyAlignment="1" applyProtection="1">
      <alignment horizontal="right"/>
      <protection hidden="1"/>
    </xf>
    <xf numFmtId="0" fontId="0" fillId="0" borderId="0" xfId="0" applyAlignment="1" applyProtection="1">
      <alignment horizontal="left" vertical="center" wrapText="1"/>
      <protection hidden="1"/>
    </xf>
    <xf numFmtId="0" fontId="1" fillId="0" borderId="0" xfId="0" applyFont="1" applyAlignment="1" applyProtection="1">
      <alignment horizontal="left" vertical="center" wrapText="1"/>
      <protection hidden="1"/>
    </xf>
    <xf numFmtId="0" fontId="0" fillId="2" borderId="1" xfId="0" applyFill="1" applyBorder="1" applyAlignment="1" applyProtection="1">
      <alignment vertical="center"/>
      <protection hidden="1"/>
    </xf>
    <xf numFmtId="0" fontId="38" fillId="5" borderId="1" xfId="0" applyFont="1" applyFill="1" applyBorder="1" applyAlignment="1" applyProtection="1">
      <alignment horizontal="center" vertical="center" wrapText="1"/>
      <protection hidden="1"/>
    </xf>
    <xf numFmtId="0" fontId="0" fillId="0" borderId="1" xfId="0" applyBorder="1" applyAlignment="1" applyProtection="1">
      <alignment vertical="center"/>
      <protection hidden="1"/>
    </xf>
    <xf numFmtId="37" fontId="37" fillId="0" borderId="1" xfId="0" applyNumberFormat="1" applyFont="1" applyBorder="1" applyAlignment="1" applyProtection="1">
      <alignment horizontal="right"/>
      <protection hidden="1"/>
    </xf>
    <xf numFmtId="0" fontId="10" fillId="0" borderId="6" xfId="0" applyFont="1" applyBorder="1" applyProtection="1">
      <protection hidden="1"/>
    </xf>
    <xf numFmtId="0" fontId="0" fillId="0" borderId="5" xfId="0" applyBorder="1" applyProtection="1">
      <protection hidden="1"/>
    </xf>
    <xf numFmtId="0" fontId="4" fillId="0" borderId="6" xfId="0" applyFont="1" applyBorder="1" applyProtection="1">
      <protection hidden="1"/>
    </xf>
    <xf numFmtId="0" fontId="0" fillId="0" borderId="6" xfId="0" applyBorder="1" applyAlignment="1" applyProtection="1">
      <alignment vertical="center" wrapText="1"/>
      <protection hidden="1"/>
    </xf>
    <xf numFmtId="0" fontId="0" fillId="0" borderId="5" xfId="0" applyBorder="1" applyAlignment="1" applyProtection="1">
      <alignment vertical="center" wrapText="1"/>
      <protection hidden="1"/>
    </xf>
    <xf numFmtId="0" fontId="0" fillId="0" borderId="3" xfId="0" applyBorder="1" applyAlignment="1" applyProtection="1">
      <alignment vertical="center"/>
      <protection hidden="1"/>
    </xf>
    <xf numFmtId="37" fontId="37" fillId="0" borderId="3" xfId="0" applyNumberFormat="1" applyFont="1" applyBorder="1" applyAlignment="1" applyProtection="1">
      <alignment horizontal="right"/>
      <protection hidden="1"/>
    </xf>
    <xf numFmtId="0" fontId="33" fillId="5" borderId="16" xfId="0" applyFont="1" applyFill="1" applyBorder="1" applyAlignment="1" applyProtection="1">
      <alignment vertical="center"/>
      <protection hidden="1"/>
    </xf>
    <xf numFmtId="37" fontId="33" fillId="5" borderId="16" xfId="0" applyNumberFormat="1" applyFont="1" applyFill="1" applyBorder="1" applyAlignment="1" applyProtection="1">
      <alignment horizontal="right"/>
      <protection hidden="1"/>
    </xf>
    <xf numFmtId="0" fontId="35" fillId="0" borderId="0" xfId="0" applyFont="1" applyProtection="1">
      <protection hidden="1"/>
    </xf>
    <xf numFmtId="0" fontId="4" fillId="0" borderId="0" xfId="0" applyFont="1" applyProtection="1">
      <protection hidden="1"/>
    </xf>
    <xf numFmtId="0" fontId="0" fillId="0" borderId="2" xfId="0" applyBorder="1" applyAlignment="1" applyProtection="1">
      <alignment horizontal="right"/>
      <protection hidden="1"/>
    </xf>
    <xf numFmtId="37" fontId="37" fillId="0" borderId="0" xfId="0" applyNumberFormat="1" applyFont="1" applyProtection="1">
      <protection hidden="1"/>
    </xf>
    <xf numFmtId="0" fontId="0" fillId="0" borderId="9" xfId="0" applyBorder="1" applyAlignment="1" applyProtection="1">
      <alignment horizontal="right"/>
      <protection hidden="1"/>
    </xf>
    <xf numFmtId="3" fontId="33" fillId="0" borderId="9" xfId="0" applyNumberFormat="1" applyFont="1" applyBorder="1" applyAlignment="1" applyProtection="1">
      <alignment horizontal="right"/>
      <protection hidden="1"/>
    </xf>
    <xf numFmtId="0" fontId="4" fillId="0" borderId="0" xfId="0" applyFont="1" applyAlignment="1" applyProtection="1">
      <alignment wrapText="1"/>
      <protection hidden="1"/>
    </xf>
    <xf numFmtId="3" fontId="0" fillId="0" borderId="9" xfId="0" applyNumberFormat="1" applyBorder="1" applyAlignment="1" applyProtection="1">
      <alignment horizontal="right"/>
      <protection hidden="1"/>
    </xf>
    <xf numFmtId="0" fontId="7" fillId="0" borderId="0" xfId="0" applyFont="1" applyAlignment="1" applyProtection="1">
      <alignment horizontal="left" vertical="center" wrapText="1"/>
      <protection hidden="1"/>
    </xf>
    <xf numFmtId="0" fontId="0" fillId="0" borderId="0" xfId="0" applyAlignment="1" applyProtection="1">
      <alignment horizontal="left" vertical="center" wrapText="1"/>
      <protection hidden="1"/>
    </xf>
    <xf numFmtId="0" fontId="35" fillId="0" borderId="0" xfId="0" applyFont="1" applyAlignment="1" applyProtection="1">
      <alignment horizontal="left" wrapText="1"/>
      <protection hidden="1"/>
    </xf>
    <xf numFmtId="0" fontId="52" fillId="0" borderId="0" xfId="0" applyFont="1" applyAlignment="1" applyProtection="1">
      <alignment horizontal="left" vertical="center" wrapText="1"/>
      <protection hidden="1"/>
    </xf>
    <xf numFmtId="0" fontId="30" fillId="0" borderId="0" xfId="0" applyFont="1" applyAlignment="1" applyProtection="1">
      <alignment vertical="center" wrapText="1"/>
      <protection hidden="1"/>
    </xf>
    <xf numFmtId="0" fontId="4" fillId="0" borderId="0" xfId="0" applyFont="1" applyAlignment="1" applyProtection="1">
      <alignment vertical="center" wrapText="1"/>
      <protection hidden="1"/>
    </xf>
    <xf numFmtId="0" fontId="45" fillId="0" borderId="0" xfId="0" applyFont="1" applyAlignment="1" applyProtection="1">
      <alignment horizontal="left" vertical="center" wrapText="1"/>
      <protection hidden="1"/>
    </xf>
    <xf numFmtId="0" fontId="30" fillId="0" borderId="0" xfId="0" applyFont="1" applyAlignment="1" applyProtection="1">
      <alignment horizontal="left" vertical="center" wrapText="1"/>
      <protection hidden="1"/>
    </xf>
    <xf numFmtId="0" fontId="4" fillId="0" borderId="0" xfId="0" applyFont="1" applyAlignment="1" applyProtection="1">
      <alignment horizontal="left" vertical="center" wrapText="1"/>
      <protection hidden="1"/>
    </xf>
    <xf numFmtId="0" fontId="31" fillId="10" borderId="1" xfId="0" applyFont="1" applyFill="1" applyBorder="1" applyAlignment="1" applyProtection="1">
      <alignment horizontal="center" vertical="center" wrapText="1"/>
      <protection hidden="1"/>
    </xf>
    <xf numFmtId="0" fontId="6" fillId="10" borderId="1" xfId="0" applyFont="1" applyFill="1" applyBorder="1" applyAlignment="1" applyProtection="1">
      <alignment horizontal="center" vertical="center" wrapText="1"/>
      <protection hidden="1"/>
    </xf>
    <xf numFmtId="0" fontId="3" fillId="0" borderId="0" xfId="0" applyFont="1" applyAlignment="1" applyProtection="1">
      <alignment horizontal="left" vertical="top" wrapText="1"/>
      <protection hidden="1"/>
    </xf>
    <xf numFmtId="0" fontId="31" fillId="0" borderId="1" xfId="0" applyFont="1" applyBorder="1" applyAlignment="1" applyProtection="1">
      <alignment horizontal="left" vertical="center" wrapText="1"/>
      <protection hidden="1"/>
    </xf>
    <xf numFmtId="0" fontId="1" fillId="0" borderId="1" xfId="0" applyFont="1" applyBorder="1" applyAlignment="1" applyProtection="1">
      <alignment horizontal="center" vertical="center" wrapText="1"/>
      <protection hidden="1"/>
    </xf>
    <xf numFmtId="0" fontId="33" fillId="0" borderId="1" xfId="0" applyFont="1" applyBorder="1" applyAlignment="1" applyProtection="1">
      <alignment horizontal="center" vertical="center" wrapText="1"/>
      <protection hidden="1"/>
    </xf>
    <xf numFmtId="0" fontId="32" fillId="0" borderId="1" xfId="0" applyFont="1" applyBorder="1" applyAlignment="1" applyProtection="1">
      <alignment horizontal="left" vertical="center" wrapText="1"/>
      <protection hidden="1"/>
    </xf>
    <xf numFmtId="0" fontId="31" fillId="0" borderId="1" xfId="0" applyFont="1" applyBorder="1" applyAlignment="1" applyProtection="1">
      <alignment vertical="center" wrapText="1"/>
      <protection hidden="1"/>
    </xf>
    <xf numFmtId="170" fontId="33" fillId="0" borderId="1" xfId="0" applyNumberFormat="1" applyFont="1" applyBorder="1" applyAlignment="1" applyProtection="1">
      <alignment horizontal="center" vertical="center" wrapText="1"/>
      <protection hidden="1"/>
    </xf>
    <xf numFmtId="0" fontId="0" fillId="0" borderId="0" xfId="0" applyAlignment="1" applyProtection="1">
      <alignment horizontal="right"/>
      <protection hidden="1"/>
    </xf>
    <xf numFmtId="0" fontId="31" fillId="8" borderId="1" xfId="0" applyFont="1" applyFill="1" applyBorder="1" applyAlignment="1" applyProtection="1">
      <alignment horizontal="center" vertical="center" wrapText="1"/>
      <protection hidden="1"/>
    </xf>
    <xf numFmtId="0" fontId="6" fillId="8" borderId="1" xfId="0" applyFont="1" applyFill="1" applyBorder="1" applyAlignment="1" applyProtection="1">
      <alignment horizontal="center" vertical="center" wrapText="1"/>
      <protection hidden="1"/>
    </xf>
    <xf numFmtId="0" fontId="32" fillId="0" borderId="1" xfId="0" applyFont="1" applyBorder="1" applyAlignment="1" applyProtection="1">
      <alignment vertical="center" wrapText="1"/>
      <protection hidden="1"/>
    </xf>
    <xf numFmtId="9" fontId="33" fillId="0" borderId="1" xfId="0" applyNumberFormat="1" applyFont="1" applyBorder="1" applyAlignment="1" applyProtection="1">
      <alignment horizontal="center" vertical="center" wrapText="1"/>
      <protection hidden="1"/>
    </xf>
    <xf numFmtId="0" fontId="1" fillId="0" borderId="1" xfId="0" applyFont="1" applyBorder="1" applyAlignment="1" applyProtection="1">
      <alignment horizontal="left" vertical="top" wrapText="1"/>
      <protection hidden="1"/>
    </xf>
    <xf numFmtId="170" fontId="33" fillId="0" borderId="1" xfId="0" applyNumberFormat="1" applyFont="1" applyBorder="1" applyAlignment="1" applyProtection="1">
      <alignment horizontal="center" vertical="center"/>
      <protection hidden="1"/>
    </xf>
    <xf numFmtId="10" fontId="0" fillId="0" borderId="0" xfId="0" applyNumberFormat="1" applyAlignment="1" applyProtection="1">
      <alignment horizontal="right"/>
      <protection hidden="1"/>
    </xf>
    <xf numFmtId="0" fontId="31" fillId="0" borderId="1" xfId="0" applyFont="1" applyBorder="1" applyAlignment="1" applyProtection="1">
      <alignment horizontal="center" vertical="center" wrapText="1"/>
      <protection hidden="1"/>
    </xf>
    <xf numFmtId="0" fontId="32" fillId="0" borderId="1" xfId="0" applyFont="1" applyBorder="1" applyAlignment="1" applyProtection="1">
      <alignment horizontal="center" vertical="center" wrapText="1"/>
      <protection hidden="1"/>
    </xf>
    <xf numFmtId="0" fontId="3" fillId="0" borderId="1" xfId="0" applyFont="1" applyBorder="1" applyAlignment="1" applyProtection="1">
      <alignment horizontal="center" vertical="center" wrapText="1"/>
      <protection hidden="1"/>
    </xf>
    <xf numFmtId="0" fontId="31" fillId="0" borderId="0" xfId="0" applyFont="1" applyAlignment="1" applyProtection="1">
      <alignment vertical="center" wrapText="1"/>
      <protection hidden="1"/>
    </xf>
    <xf numFmtId="9" fontId="33" fillId="0" borderId="0" xfId="0" applyNumberFormat="1" applyFont="1" applyAlignment="1" applyProtection="1">
      <alignment horizontal="center" vertical="center" wrapText="1"/>
      <protection hidden="1"/>
    </xf>
    <xf numFmtId="0" fontId="34" fillId="0" borderId="0" xfId="0" applyFont="1" applyProtection="1">
      <protection hidden="1"/>
    </xf>
    <xf numFmtId="0" fontId="3" fillId="0" borderId="0" xfId="0" applyFont="1" applyAlignment="1" applyProtection="1">
      <alignment horizontal="left" vertical="top"/>
      <protection hidden="1"/>
    </xf>
    <xf numFmtId="0" fontId="3" fillId="0" borderId="0" xfId="0" applyFont="1" applyAlignment="1" applyProtection="1">
      <alignment horizontal="left" vertical="top" wrapText="1"/>
      <protection hidden="1"/>
    </xf>
    <xf numFmtId="0" fontId="0" fillId="0" borderId="0" xfId="0" applyAlignment="1" applyProtection="1">
      <alignment wrapText="1"/>
      <protection hidden="1"/>
    </xf>
    <xf numFmtId="0" fontId="0" fillId="0" borderId="0" xfId="0" applyAlignment="1" applyProtection="1">
      <alignment horizontal="left" vertical="top"/>
      <protection hidden="1"/>
    </xf>
    <xf numFmtId="0" fontId="4" fillId="0" borderId="0" xfId="0" applyFont="1" applyAlignment="1" applyProtection="1">
      <alignment horizontal="left" vertical="top" wrapText="1" indent="1"/>
      <protection hidden="1"/>
    </xf>
    <xf numFmtId="0" fontId="4" fillId="0" borderId="13" xfId="0" applyFont="1" applyBorder="1" applyAlignment="1" applyProtection="1">
      <alignment horizontal="left" vertical="top" wrapText="1" indent="1"/>
      <protection hidden="1"/>
    </xf>
    <xf numFmtId="3" fontId="33" fillId="0" borderId="1" xfId="0" applyNumberFormat="1" applyFont="1" applyBorder="1" applyAlignment="1" applyProtection="1">
      <alignment horizontal="right" vertical="top" wrapText="1"/>
      <protection hidden="1"/>
    </xf>
    <xf numFmtId="0" fontId="0" fillId="0" borderId="0" xfId="0" applyAlignment="1" applyProtection="1">
      <alignment horizontal="left" indent="1"/>
      <protection hidden="1"/>
    </xf>
    <xf numFmtId="0" fontId="0" fillId="0" borderId="13" xfId="0" applyBorder="1" applyAlignment="1" applyProtection="1">
      <alignment horizontal="left" indent="1"/>
      <protection hidden="1"/>
    </xf>
    <xf numFmtId="3" fontId="33" fillId="0" borderId="1" xfId="0" applyNumberFormat="1" applyFont="1" applyBorder="1" applyProtection="1">
      <protection hidden="1"/>
    </xf>
    <xf numFmtId="0" fontId="0" fillId="0" borderId="0" xfId="0" applyAlignment="1" applyProtection="1">
      <alignment horizontal="left" indent="1"/>
      <protection hidden="1"/>
    </xf>
    <xf numFmtId="0" fontId="8" fillId="0" borderId="0" xfId="0" applyFont="1" applyAlignment="1" applyProtection="1">
      <alignment horizontal="left" wrapText="1" indent="1"/>
      <protection hidden="1"/>
    </xf>
    <xf numFmtId="3" fontId="33" fillId="0" borderId="0" xfId="0" applyNumberFormat="1" applyFont="1" applyProtection="1">
      <protection hidden="1"/>
    </xf>
    <xf numFmtId="0" fontId="0" fillId="0" borderId="0" xfId="0" applyAlignment="1" applyProtection="1">
      <alignment horizontal="center"/>
      <protection hidden="1"/>
    </xf>
    <xf numFmtId="0" fontId="0" fillId="0" borderId="0" xfId="0" applyAlignment="1" applyProtection="1">
      <alignment horizontal="left" wrapText="1" indent="1"/>
      <protection hidden="1"/>
    </xf>
    <xf numFmtId="0" fontId="0" fillId="0" borderId="13" xfId="0" applyBorder="1" applyAlignment="1" applyProtection="1">
      <alignment horizontal="left" wrapText="1" indent="1"/>
      <protection hidden="1"/>
    </xf>
    <xf numFmtId="0" fontId="0" fillId="0" borderId="0" xfId="0" applyAlignment="1" applyProtection="1">
      <alignment horizontal="left" wrapText="1" indent="1"/>
      <protection hidden="1"/>
    </xf>
    <xf numFmtId="0" fontId="10" fillId="0" borderId="0" xfId="0" applyFont="1" applyAlignment="1" applyProtection="1">
      <alignment horizontal="left" wrapText="1" indent="1"/>
      <protection hidden="1"/>
    </xf>
    <xf numFmtId="0" fontId="33" fillId="0" borderId="1" xfId="0" applyFont="1" applyBorder="1" applyProtection="1">
      <protection hidden="1"/>
    </xf>
    <xf numFmtId="0" fontId="15" fillId="0" borderId="13" xfId="0" applyFont="1" applyBorder="1" applyProtection="1">
      <protection hidden="1"/>
    </xf>
    <xf numFmtId="0" fontId="0" fillId="0" borderId="15" xfId="0" applyBorder="1" applyProtection="1">
      <protection hidden="1"/>
    </xf>
    <xf numFmtId="0" fontId="0" fillId="0" borderId="7" xfId="0" applyBorder="1" applyProtection="1">
      <protection hidden="1"/>
    </xf>
    <xf numFmtId="0" fontId="33" fillId="5" borderId="1" xfId="0" applyFont="1" applyFill="1" applyBorder="1" applyAlignment="1" applyProtection="1">
      <alignment horizontal="center" vertical="center"/>
      <protection hidden="1"/>
    </xf>
    <xf numFmtId="0" fontId="0" fillId="0" borderId="15" xfId="0" applyBorder="1" applyAlignment="1" applyProtection="1">
      <alignment horizontal="left" wrapText="1" indent="1"/>
      <protection hidden="1"/>
    </xf>
    <xf numFmtId="0" fontId="0" fillId="0" borderId="7" xfId="0" applyBorder="1" applyAlignment="1" applyProtection="1">
      <alignment horizontal="left" wrapText="1" indent="1"/>
      <protection hidden="1"/>
    </xf>
    <xf numFmtId="0" fontId="4" fillId="0" borderId="1" xfId="0" applyFont="1" applyBorder="1" applyAlignment="1" applyProtection="1">
      <alignment horizontal="center" vertical="center"/>
      <protection hidden="1"/>
    </xf>
    <xf numFmtId="0" fontId="33" fillId="0" borderId="1" xfId="0" applyFont="1" applyBorder="1" applyAlignment="1" applyProtection="1">
      <alignment horizontal="center" vertical="center"/>
      <protection hidden="1"/>
    </xf>
    <xf numFmtId="0" fontId="4" fillId="0" borderId="0" xfId="0" applyFont="1" applyProtection="1">
      <protection hidden="1"/>
    </xf>
    <xf numFmtId="0" fontId="0" fillId="0" borderId="2" xfId="0" applyBorder="1" applyProtection="1">
      <protection hidden="1"/>
    </xf>
    <xf numFmtId="0" fontId="33" fillId="5" borderId="1" xfId="0" applyFont="1" applyFill="1" applyBorder="1" applyAlignment="1" applyProtection="1">
      <alignment horizontal="center"/>
      <protection hidden="1"/>
    </xf>
    <xf numFmtId="0" fontId="33" fillId="5" borderId="1" xfId="0" applyFont="1" applyFill="1" applyBorder="1" applyAlignment="1" applyProtection="1">
      <alignment horizontal="center"/>
      <protection hidden="1"/>
    </xf>
    <xf numFmtId="0" fontId="4" fillId="0" borderId="4" xfId="0" applyFont="1" applyBorder="1" applyProtection="1">
      <protection hidden="1"/>
    </xf>
    <xf numFmtId="0" fontId="0" fillId="0" borderId="1" xfId="0" applyBorder="1" applyProtection="1">
      <protection hidden="1"/>
    </xf>
    <xf numFmtId="0" fontId="15" fillId="2" borderId="1" xfId="0" applyFont="1" applyFill="1" applyBorder="1" applyProtection="1">
      <protection hidden="1"/>
    </xf>
    <xf numFmtId="0" fontId="0" fillId="2" borderId="1" xfId="0" applyFill="1" applyBorder="1" applyProtection="1">
      <protection hidden="1"/>
    </xf>
    <xf numFmtId="0" fontId="10" fillId="0" borderId="11" xfId="0" applyFont="1" applyBorder="1" applyProtection="1">
      <protection hidden="1"/>
    </xf>
    <xf numFmtId="0" fontId="0" fillId="0" borderId="3" xfId="0" applyBorder="1" applyProtection="1">
      <protection hidden="1"/>
    </xf>
    <xf numFmtId="0" fontId="10" fillId="0" borderId="13" xfId="0" applyFont="1" applyBorder="1" applyProtection="1">
      <protection hidden="1"/>
    </xf>
    <xf numFmtId="0" fontId="4" fillId="0" borderId="15" xfId="0" applyFont="1" applyBorder="1" applyProtection="1">
      <protection hidden="1"/>
    </xf>
    <xf numFmtId="0" fontId="0" fillId="0" borderId="1" xfId="0" applyBorder="1" applyAlignment="1" applyProtection="1">
      <alignment horizontal="center" vertical="center"/>
      <protection hidden="1"/>
    </xf>
    <xf numFmtId="0" fontId="7" fillId="0" borderId="0" xfId="0" applyFont="1" applyAlignment="1" applyProtection="1">
      <alignment horizontal="left" vertical="top"/>
      <protection hidden="1"/>
    </xf>
    <xf numFmtId="0" fontId="1" fillId="0" borderId="0" xfId="0" applyFont="1" applyAlignment="1" applyProtection="1">
      <alignment horizontal="left" vertical="center" wrapText="1" indent="1"/>
      <protection hidden="1"/>
    </xf>
    <xf numFmtId="0" fontId="1" fillId="0" borderId="7" xfId="0" applyFont="1" applyBorder="1" applyAlignment="1" applyProtection="1">
      <alignment horizontal="left" vertical="center" wrapText="1"/>
      <protection hidden="1"/>
    </xf>
    <xf numFmtId="0" fontId="1" fillId="0" borderId="0" xfId="0" applyFont="1" applyAlignment="1" applyProtection="1">
      <alignment vertical="center" wrapText="1"/>
      <protection hidden="1"/>
    </xf>
    <xf numFmtId="0" fontId="1" fillId="0" borderId="1" xfId="0" applyFont="1" applyBorder="1" applyAlignment="1" applyProtection="1">
      <alignment horizontal="center" vertical="center"/>
      <protection hidden="1"/>
    </xf>
    <xf numFmtId="0" fontId="10" fillId="0" borderId="7" xfId="0" applyFont="1" applyBorder="1" applyAlignment="1" applyProtection="1">
      <alignment horizontal="left" vertical="center" wrapText="1"/>
      <protection hidden="1"/>
    </xf>
    <xf numFmtId="0" fontId="10" fillId="0" borderId="0" xfId="0" applyFont="1" applyAlignment="1" applyProtection="1">
      <alignment horizontal="left" vertical="center" wrapText="1"/>
      <protection hidden="1"/>
    </xf>
    <xf numFmtId="0" fontId="10" fillId="0" borderId="0" xfId="0" applyFont="1" applyAlignment="1" applyProtection="1">
      <alignment vertical="center" wrapText="1"/>
      <protection hidden="1"/>
    </xf>
    <xf numFmtId="0" fontId="3" fillId="0" borderId="0" xfId="0" applyFont="1" applyAlignment="1" applyProtection="1">
      <alignment vertical="top" wrapText="1"/>
      <protection hidden="1"/>
    </xf>
    <xf numFmtId="0" fontId="0" fillId="0" borderId="7" xfId="0" applyBorder="1" applyAlignment="1" applyProtection="1">
      <alignment horizontal="left" vertical="top" wrapText="1"/>
      <protection hidden="1"/>
    </xf>
    <xf numFmtId="0" fontId="33" fillId="0" borderId="0" xfId="0" applyFont="1" applyAlignment="1" applyProtection="1">
      <alignment horizontal="center" vertical="center"/>
      <protection hidden="1"/>
    </xf>
    <xf numFmtId="0" fontId="10" fillId="0" borderId="7" xfId="0" applyFont="1" applyBorder="1" applyAlignment="1" applyProtection="1">
      <alignment horizontal="left" vertical="top" wrapText="1"/>
      <protection hidden="1"/>
    </xf>
    <xf numFmtId="0" fontId="4" fillId="0" borderId="0" xfId="0" applyFont="1" applyAlignment="1" applyProtection="1">
      <alignment horizontal="center" vertical="center"/>
      <protection hidden="1"/>
    </xf>
    <xf numFmtId="0" fontId="4" fillId="0" borderId="0" xfId="0" applyFont="1" applyAlignment="1" applyProtection="1">
      <alignment horizontal="left" vertical="top" wrapText="1"/>
      <protection hidden="1"/>
    </xf>
    <xf numFmtId="0" fontId="44" fillId="5" borderId="1" xfId="0" applyFont="1" applyFill="1" applyBorder="1" applyAlignment="1" applyProtection="1">
      <alignment horizontal="center" wrapText="1"/>
      <protection hidden="1"/>
    </xf>
    <xf numFmtId="0" fontId="44" fillId="5" borderId="5" xfId="0" applyFont="1" applyFill="1" applyBorder="1" applyAlignment="1" applyProtection="1">
      <alignment horizontal="center" wrapText="1"/>
      <protection hidden="1"/>
    </xf>
    <xf numFmtId="0" fontId="44" fillId="0" borderId="0" xfId="0" applyFont="1" applyAlignment="1" applyProtection="1">
      <alignment horizontal="center" wrapText="1"/>
      <protection hidden="1"/>
    </xf>
    <xf numFmtId="0" fontId="0" fillId="0" borderId="0" xfId="0" applyAlignment="1" applyProtection="1">
      <alignment horizontal="left" vertical="center" indent="10"/>
      <protection hidden="1"/>
    </xf>
    <xf numFmtId="0" fontId="0" fillId="0" borderId="13" xfId="0" applyBorder="1" applyAlignment="1" applyProtection="1">
      <alignment horizontal="left" vertical="center" indent="10"/>
      <protection hidden="1"/>
    </xf>
    <xf numFmtId="0" fontId="33" fillId="0" borderId="5" xfId="0" applyFont="1" applyBorder="1" applyAlignment="1" applyProtection="1">
      <alignment horizontal="center" vertical="center"/>
      <protection hidden="1"/>
    </xf>
    <xf numFmtId="0" fontId="0" fillId="0" borderId="0" xfId="0" applyAlignment="1" applyProtection="1">
      <alignment horizontal="left" vertical="center" wrapText="1" indent="10"/>
      <protection hidden="1"/>
    </xf>
    <xf numFmtId="0" fontId="0" fillId="0" borderId="13" xfId="0" applyBorder="1" applyAlignment="1" applyProtection="1">
      <alignment horizontal="left" vertical="center" wrapText="1" indent="10"/>
      <protection hidden="1"/>
    </xf>
    <xf numFmtId="0" fontId="33" fillId="0" borderId="1" xfId="0" applyFont="1" applyBorder="1" applyAlignment="1" applyProtection="1">
      <alignment horizontal="center"/>
      <protection hidden="1"/>
    </xf>
    <xf numFmtId="0" fontId="10" fillId="0" borderId="0" xfId="0" applyFont="1" applyAlignment="1" applyProtection="1">
      <alignment horizontal="left" wrapText="1" indent="10"/>
      <protection hidden="1"/>
    </xf>
    <xf numFmtId="0" fontId="10" fillId="0" borderId="13" xfId="0" applyFont="1" applyBorder="1" applyAlignment="1" applyProtection="1">
      <alignment horizontal="left" wrapText="1" indent="10"/>
      <protection hidden="1"/>
    </xf>
    <xf numFmtId="0" fontId="33" fillId="0" borderId="9" xfId="0" applyFont="1" applyBorder="1" applyAlignment="1" applyProtection="1">
      <alignment horizontal="center" vertical="center"/>
      <protection hidden="1"/>
    </xf>
    <xf numFmtId="0" fontId="1" fillId="0" borderId="0" xfId="0" applyFont="1" applyAlignment="1" applyProtection="1">
      <alignment horizontal="right"/>
      <protection hidden="1"/>
    </xf>
    <xf numFmtId="0" fontId="1" fillId="0" borderId="13" xfId="0" applyFont="1" applyBorder="1" applyAlignment="1" applyProtection="1">
      <alignment horizontal="right"/>
      <protection hidden="1"/>
    </xf>
    <xf numFmtId="0" fontId="10" fillId="0" borderId="0" xfId="0" applyFont="1" applyAlignment="1" applyProtection="1">
      <alignment wrapText="1"/>
      <protection hidden="1"/>
    </xf>
    <xf numFmtId="0" fontId="4" fillId="0" borderId="0" xfId="0" applyFont="1" applyAlignment="1" applyProtection="1">
      <alignment wrapText="1"/>
      <protection hidden="1"/>
    </xf>
    <xf numFmtId="0" fontId="3" fillId="0" borderId="0" xfId="0" applyFont="1" applyAlignment="1" applyProtection="1">
      <alignment wrapText="1"/>
      <protection hidden="1"/>
    </xf>
    <xf numFmtId="0" fontId="10" fillId="0" borderId="7" xfId="0" applyFont="1" applyBorder="1" applyProtection="1">
      <protection hidden="1"/>
    </xf>
    <xf numFmtId="0" fontId="3" fillId="0" borderId="0" xfId="0" applyFont="1" applyAlignment="1" applyProtection="1">
      <alignment horizontal="center" vertical="center" wrapText="1"/>
      <protection hidden="1"/>
    </xf>
    <xf numFmtId="0" fontId="3" fillId="0" borderId="1" xfId="0" applyFont="1" applyBorder="1" applyAlignment="1" applyProtection="1">
      <alignment horizontal="left" vertical="top"/>
      <protection hidden="1"/>
    </xf>
    <xf numFmtId="0" fontId="4" fillId="0" borderId="7" xfId="0" applyFont="1" applyBorder="1" applyAlignment="1" applyProtection="1">
      <alignment horizontal="left" vertical="top" wrapText="1"/>
      <protection hidden="1"/>
    </xf>
    <xf numFmtId="0" fontId="4" fillId="0" borderId="7" xfId="0" applyFont="1" applyBorder="1" applyAlignment="1" applyProtection="1">
      <alignment horizontal="left" vertical="top" wrapText="1" indent="5"/>
      <protection hidden="1"/>
    </xf>
    <xf numFmtId="0" fontId="4" fillId="0" borderId="0" xfId="0" applyFont="1" applyAlignment="1" applyProtection="1">
      <alignment horizontal="left" vertical="top" wrapText="1" indent="5"/>
      <protection hidden="1"/>
    </xf>
    <xf numFmtId="0" fontId="10" fillId="0" borderId="7" xfId="0" applyFont="1" applyBorder="1" applyAlignment="1" applyProtection="1">
      <alignment horizontal="center" vertical="top"/>
      <protection hidden="1"/>
    </xf>
    <xf numFmtId="0" fontId="0" fillId="0" borderId="0" xfId="0" applyAlignment="1" applyProtection="1">
      <alignment vertical="top"/>
      <protection hidden="1"/>
    </xf>
    <xf numFmtId="0" fontId="0" fillId="0" borderId="0" xfId="0" applyAlignment="1" applyProtection="1">
      <alignment horizontal="center" vertical="center"/>
      <protection hidden="1"/>
    </xf>
    <xf numFmtId="0" fontId="3" fillId="0" borderId="2" xfId="0" applyFont="1" applyBorder="1" applyAlignment="1" applyProtection="1">
      <alignment vertical="top" wrapText="1"/>
      <protection hidden="1"/>
    </xf>
    <xf numFmtId="0" fontId="0" fillId="0" borderId="2" xfId="0" applyBorder="1" applyAlignment="1" applyProtection="1">
      <alignment vertical="top" wrapText="1"/>
      <protection hidden="1"/>
    </xf>
    <xf numFmtId="0" fontId="0" fillId="0" borderId="0" xfId="0" applyAlignment="1" applyProtection="1">
      <alignment vertical="center"/>
      <protection hidden="1"/>
    </xf>
    <xf numFmtId="0" fontId="33" fillId="5" borderId="1" xfId="0" applyFont="1" applyFill="1" applyBorder="1" applyAlignment="1" applyProtection="1">
      <alignment horizontal="center" vertical="center" wrapText="1"/>
      <protection hidden="1"/>
    </xf>
    <xf numFmtId="0" fontId="52" fillId="3" borderId="0" xfId="0" applyFont="1" applyFill="1" applyAlignment="1" applyProtection="1">
      <alignment vertical="center"/>
      <protection hidden="1"/>
    </xf>
    <xf numFmtId="0" fontId="9" fillId="3" borderId="9" xfId="0" applyFont="1" applyFill="1" applyBorder="1" applyAlignment="1" applyProtection="1">
      <alignment vertical="center"/>
      <protection hidden="1"/>
    </xf>
    <xf numFmtId="0" fontId="9" fillId="3" borderId="5" xfId="0" applyFont="1" applyFill="1" applyBorder="1" applyAlignment="1" applyProtection="1">
      <alignment vertical="center"/>
      <protection hidden="1"/>
    </xf>
    <xf numFmtId="0" fontId="10" fillId="0" borderId="0" xfId="0" applyFont="1" applyAlignment="1" applyProtection="1">
      <alignment horizontal="left" wrapText="1" indent="1"/>
      <protection hidden="1"/>
    </xf>
    <xf numFmtId="0" fontId="0" fillId="0" borderId="13" xfId="0" applyBorder="1" applyAlignment="1" applyProtection="1">
      <alignment horizontal="left" vertical="center" indent="1"/>
      <protection hidden="1"/>
    </xf>
    <xf numFmtId="0" fontId="10" fillId="0" borderId="0" xfId="0" applyFont="1" applyProtection="1">
      <protection hidden="1"/>
    </xf>
    <xf numFmtId="0" fontId="45" fillId="3" borderId="9" xfId="0" applyFont="1" applyFill="1" applyBorder="1" applyAlignment="1" applyProtection="1">
      <alignment vertical="center"/>
      <protection hidden="1"/>
    </xf>
    <xf numFmtId="0" fontId="45" fillId="3" borderId="5" xfId="0" applyFont="1" applyFill="1" applyBorder="1" applyAlignment="1" applyProtection="1">
      <alignment vertical="center"/>
      <protection hidden="1"/>
    </xf>
    <xf numFmtId="0" fontId="0" fillId="0" borderId="13" xfId="0" applyBorder="1" applyAlignment="1" applyProtection="1">
      <alignment horizontal="left" vertical="center" wrapText="1" indent="1"/>
      <protection hidden="1"/>
    </xf>
    <xf numFmtId="0" fontId="15" fillId="0" borderId="0" xfId="0" applyFont="1" applyProtection="1">
      <protection hidden="1"/>
    </xf>
    <xf numFmtId="0" fontId="13" fillId="0" borderId="0" xfId="0" applyFont="1" applyAlignment="1" applyProtection="1">
      <alignment horizontal="center" vertical="top" wrapText="1"/>
      <protection hidden="1"/>
    </xf>
    <xf numFmtId="0" fontId="49" fillId="0" borderId="0" xfId="0" applyFont="1" applyAlignment="1" applyProtection="1">
      <alignment horizontal="center" vertical="top" wrapText="1"/>
      <protection hidden="1"/>
    </xf>
    <xf numFmtId="0" fontId="58" fillId="0" borderId="0" xfId="0" applyFont="1" applyAlignment="1" applyProtection="1">
      <alignment wrapText="1"/>
      <protection hidden="1"/>
    </xf>
    <xf numFmtId="0" fontId="15" fillId="0" borderId="0" xfId="0" applyFont="1" applyProtection="1">
      <protection hidden="1"/>
    </xf>
    <xf numFmtId="0" fontId="10" fillId="0" borderId="0" xfId="0" applyFont="1" applyAlignment="1" applyProtection="1">
      <alignment horizontal="left" vertical="top" wrapText="1"/>
      <protection hidden="1"/>
    </xf>
    <xf numFmtId="0" fontId="49" fillId="0" borderId="1" xfId="0" applyFont="1" applyBorder="1" applyAlignment="1" applyProtection="1">
      <alignment horizontal="center" vertical="center" wrapText="1"/>
      <protection hidden="1"/>
    </xf>
    <xf numFmtId="0" fontId="59" fillId="0" borderId="0" xfId="0" applyFont="1" applyAlignment="1" applyProtection="1">
      <alignment horizontal="center" vertical="top" wrapText="1"/>
      <protection hidden="1"/>
    </xf>
    <xf numFmtId="0" fontId="4" fillId="0" borderId="13" xfId="0" applyFont="1" applyBorder="1" applyAlignment="1" applyProtection="1">
      <alignment wrapText="1"/>
      <protection hidden="1"/>
    </xf>
    <xf numFmtId="0" fontId="0" fillId="0" borderId="15" xfId="0" applyBorder="1" applyAlignment="1" applyProtection="1">
      <alignment wrapText="1"/>
      <protection hidden="1"/>
    </xf>
    <xf numFmtId="0" fontId="0" fillId="0" borderId="10" xfId="0" applyBorder="1" applyAlignment="1" applyProtection="1">
      <alignment wrapText="1"/>
      <protection hidden="1"/>
    </xf>
    <xf numFmtId="0" fontId="62" fillId="0" borderId="0" xfId="0" applyFont="1" applyAlignment="1" applyProtection="1">
      <alignment vertical="top" wrapText="1"/>
      <protection hidden="1"/>
    </xf>
    <xf numFmtId="0" fontId="60" fillId="0" borderId="0" xfId="0" applyFont="1" applyAlignment="1" applyProtection="1">
      <alignment vertical="top" wrapText="1"/>
      <protection hidden="1"/>
    </xf>
    <xf numFmtId="0" fontId="11" fillId="0" borderId="0" xfId="0" applyFont="1" applyAlignment="1" applyProtection="1">
      <alignment vertical="top" wrapText="1"/>
      <protection hidden="1"/>
    </xf>
    <xf numFmtId="0" fontId="33" fillId="5" borderId="6" xfId="0" applyFont="1" applyFill="1" applyBorder="1" applyAlignment="1" applyProtection="1">
      <alignment horizontal="center" vertical="top" wrapText="1"/>
      <protection hidden="1"/>
    </xf>
    <xf numFmtId="0" fontId="37" fillId="5" borderId="9" xfId="0" applyFont="1" applyFill="1" applyBorder="1" applyAlignment="1" applyProtection="1">
      <alignment horizontal="center" vertical="top" wrapText="1"/>
      <protection hidden="1"/>
    </xf>
    <xf numFmtId="0" fontId="37" fillId="5" borderId="9" xfId="0" applyFont="1" applyFill="1" applyBorder="1" applyAlignment="1" applyProtection="1">
      <alignment wrapText="1"/>
      <protection hidden="1"/>
    </xf>
    <xf numFmtId="0" fontId="37" fillId="5" borderId="5" xfId="0" applyFont="1" applyFill="1" applyBorder="1" applyAlignment="1" applyProtection="1">
      <alignment wrapText="1"/>
      <protection hidden="1"/>
    </xf>
    <xf numFmtId="0" fontId="4" fillId="0" borderId="0" xfId="0" applyFont="1" applyAlignment="1" applyProtection="1">
      <alignment vertical="top" wrapText="1"/>
      <protection hidden="1"/>
    </xf>
    <xf numFmtId="0" fontId="44" fillId="5" borderId="1" xfId="0" applyFont="1" applyFill="1" applyBorder="1" applyAlignment="1" applyProtection="1">
      <alignment horizontal="center" vertical="top" wrapText="1"/>
      <protection hidden="1"/>
    </xf>
    <xf numFmtId="0" fontId="33" fillId="5" borderId="1" xfId="0" applyFont="1" applyFill="1" applyBorder="1" applyAlignment="1" applyProtection="1">
      <alignment horizontal="center" wrapText="1"/>
      <protection hidden="1"/>
    </xf>
    <xf numFmtId="0" fontId="33" fillId="5" borderId="1" xfId="0" applyFont="1" applyFill="1" applyBorder="1" applyAlignment="1" applyProtection="1">
      <alignment horizontal="center" vertical="top" wrapText="1"/>
      <protection hidden="1"/>
    </xf>
    <xf numFmtId="0" fontId="10" fillId="0" borderId="0" xfId="0" applyFont="1" applyAlignment="1" applyProtection="1">
      <alignment horizontal="right" wrapText="1"/>
      <protection hidden="1"/>
    </xf>
    <xf numFmtId="0" fontId="33" fillId="0" borderId="1" xfId="0" applyFont="1" applyBorder="1" applyAlignment="1" applyProtection="1">
      <alignment horizontal="center" wrapText="1"/>
      <protection hidden="1"/>
    </xf>
    <xf numFmtId="0" fontId="0" fillId="0" borderId="1" xfId="0" applyBorder="1" applyAlignment="1" applyProtection="1">
      <alignment horizontal="center" wrapText="1"/>
      <protection hidden="1"/>
    </xf>
    <xf numFmtId="0" fontId="62" fillId="0" borderId="1" xfId="0" applyFont="1" applyBorder="1" applyAlignment="1" applyProtection="1">
      <alignment horizontal="center" vertical="top" wrapText="1"/>
      <protection hidden="1"/>
    </xf>
    <xf numFmtId="0" fontId="10" fillId="0" borderId="0" xfId="0" applyFont="1" applyAlignment="1" applyProtection="1">
      <alignment horizontal="right" vertical="top" wrapText="1"/>
      <protection hidden="1"/>
    </xf>
    <xf numFmtId="0" fontId="4" fillId="0" borderId="1" xfId="0" applyFont="1" applyBorder="1" applyAlignment="1" applyProtection="1">
      <alignment horizontal="center" wrapText="1"/>
      <protection hidden="1"/>
    </xf>
    <xf numFmtId="0" fontId="0" fillId="0" borderId="0" xfId="0" applyAlignment="1" applyProtection="1">
      <alignment wrapText="1"/>
      <protection hidden="1"/>
    </xf>
    <xf numFmtId="0" fontId="3" fillId="0" borderId="0" xfId="0" applyFont="1" applyAlignment="1" applyProtection="1">
      <alignment vertical="top" wrapText="1"/>
      <protection hidden="1"/>
    </xf>
    <xf numFmtId="0" fontId="4" fillId="0" borderId="0" xfId="0" applyFont="1" applyAlignment="1" applyProtection="1">
      <alignment vertical="top" wrapText="1"/>
      <protection hidden="1"/>
    </xf>
    <xf numFmtId="0" fontId="1" fillId="0" borderId="0" xfId="0" applyFont="1" applyAlignment="1" applyProtection="1">
      <alignment horizontal="left" vertical="top" wrapText="1" indent="1"/>
      <protection hidden="1"/>
    </xf>
    <xf numFmtId="0" fontId="1" fillId="0" borderId="0" xfId="0" applyFont="1" applyAlignment="1" applyProtection="1">
      <alignment vertical="top" wrapText="1"/>
      <protection hidden="1"/>
    </xf>
    <xf numFmtId="0" fontId="4" fillId="0" borderId="0" xfId="0" applyFont="1" applyAlignment="1" applyProtection="1">
      <alignment horizontal="center" vertical="top" wrapText="1"/>
      <protection hidden="1"/>
    </xf>
    <xf numFmtId="0" fontId="30" fillId="0" borderId="0" xfId="0" applyFont="1" applyAlignment="1" applyProtection="1">
      <alignment vertical="top" wrapText="1"/>
      <protection hidden="1"/>
    </xf>
    <xf numFmtId="0" fontId="37" fillId="0" borderId="0" xfId="0" applyFont="1" applyAlignment="1" applyProtection="1">
      <alignment vertical="top" wrapText="1"/>
      <protection hidden="1"/>
    </xf>
    <xf numFmtId="0" fontId="0" fillId="0" borderId="0" xfId="0" applyAlignment="1" applyProtection="1">
      <alignment vertical="top" wrapText="1"/>
      <protection hidden="1"/>
    </xf>
    <xf numFmtId="0" fontId="33" fillId="0" borderId="0" xfId="0" applyFont="1" applyAlignment="1" applyProtection="1">
      <alignment horizontal="center" vertical="top" wrapText="1"/>
      <protection hidden="1"/>
    </xf>
    <xf numFmtId="0" fontId="10" fillId="0" borderId="0" xfId="0" applyFont="1" applyAlignment="1" applyProtection="1">
      <alignment horizontal="left" vertical="top" wrapText="1"/>
      <protection hidden="1"/>
    </xf>
    <xf numFmtId="0" fontId="10" fillId="0" borderId="0" xfId="0" applyFont="1" applyAlignment="1" applyProtection="1">
      <alignment horizontal="left" vertical="top"/>
      <protection hidden="1"/>
    </xf>
    <xf numFmtId="0" fontId="4" fillId="0" borderId="0" xfId="0" applyFont="1" applyAlignment="1" applyProtection="1">
      <alignment horizontal="left" vertical="top"/>
      <protection hidden="1"/>
    </xf>
    <xf numFmtId="0" fontId="10" fillId="0" borderId="0" xfId="0" applyFont="1" applyAlignment="1" applyProtection="1">
      <alignment horizontal="left" vertical="top" wrapText="1" indent="1"/>
      <protection hidden="1"/>
    </xf>
    <xf numFmtId="0" fontId="10" fillId="0" borderId="0" xfId="0" applyFont="1" applyAlignment="1" applyProtection="1">
      <alignment vertical="top" wrapText="1"/>
      <protection hidden="1"/>
    </xf>
    <xf numFmtId="0" fontId="0" fillId="0" borderId="0" xfId="0" applyAlignment="1" applyProtection="1">
      <alignment horizontal="center" vertical="top" wrapText="1"/>
      <protection hidden="1"/>
    </xf>
    <xf numFmtId="0" fontId="3" fillId="0" borderId="6" xfId="0" applyFont="1" applyBorder="1" applyAlignment="1" applyProtection="1">
      <alignment horizontal="center"/>
      <protection hidden="1"/>
    </xf>
    <xf numFmtId="0" fontId="3" fillId="0" borderId="11" xfId="0" applyFont="1" applyBorder="1" applyAlignment="1" applyProtection="1">
      <alignment horizontal="center"/>
      <protection hidden="1"/>
    </xf>
    <xf numFmtId="0" fontId="37" fillId="0" borderId="0" xfId="0" applyFont="1" applyAlignment="1" applyProtection="1">
      <alignment horizontal="left" vertical="top" wrapText="1"/>
      <protection hidden="1"/>
    </xf>
    <xf numFmtId="0" fontId="10" fillId="0" borderId="13" xfId="0" applyFont="1" applyBorder="1" applyAlignment="1" applyProtection="1">
      <alignment horizontal="left" vertical="top" wrapText="1"/>
      <protection hidden="1"/>
    </xf>
    <xf numFmtId="0" fontId="0" fillId="0" borderId="5" xfId="0" applyBorder="1" applyAlignment="1" applyProtection="1">
      <alignment horizontal="center" vertical="center" wrapText="1"/>
      <protection hidden="1"/>
    </xf>
    <xf numFmtId="0" fontId="0" fillId="0" borderId="1" xfId="0" applyBorder="1" applyAlignment="1" applyProtection="1">
      <alignment horizontal="center" vertical="center" wrapText="1"/>
      <protection hidden="1"/>
    </xf>
    <xf numFmtId="0" fontId="4" fillId="0" borderId="5" xfId="0" applyFont="1" applyBorder="1" applyAlignment="1" applyProtection="1">
      <alignment horizontal="center" vertical="center" wrapText="1"/>
      <protection hidden="1"/>
    </xf>
    <xf numFmtId="0" fontId="4" fillId="0" borderId="1" xfId="0" applyFont="1" applyBorder="1" applyAlignment="1" applyProtection="1">
      <alignment horizontal="center" vertical="center" wrapText="1"/>
      <protection hidden="1"/>
    </xf>
    <xf numFmtId="0" fontId="4" fillId="0" borderId="0" xfId="0" applyFont="1" applyAlignment="1" applyProtection="1">
      <alignment horizontal="left"/>
      <protection hidden="1"/>
    </xf>
    <xf numFmtId="0" fontId="4" fillId="0" borderId="13" xfId="0" applyFont="1" applyBorder="1" applyAlignment="1" applyProtection="1">
      <alignment horizontal="left"/>
      <protection hidden="1"/>
    </xf>
    <xf numFmtId="0" fontId="4" fillId="0" borderId="0" xfId="0" applyFont="1" applyAlignment="1" applyProtection="1">
      <alignment horizontal="left" wrapText="1"/>
      <protection hidden="1"/>
    </xf>
    <xf numFmtId="0" fontId="4" fillId="0" borderId="13" xfId="0" applyFont="1" applyBorder="1" applyAlignment="1" applyProtection="1">
      <alignment horizontal="left" wrapText="1"/>
      <protection hidden="1"/>
    </xf>
    <xf numFmtId="0" fontId="33" fillId="0" borderId="5" xfId="0" applyFont="1" applyBorder="1" applyAlignment="1" applyProtection="1">
      <alignment horizontal="center" vertical="center" wrapText="1"/>
      <protection hidden="1"/>
    </xf>
    <xf numFmtId="0" fontId="33" fillId="0" borderId="0" xfId="0" applyFont="1" applyAlignment="1" applyProtection="1">
      <alignment horizontal="left" indent="1"/>
      <protection hidden="1"/>
    </xf>
    <xf numFmtId="0" fontId="1" fillId="0" borderId="0" xfId="0" applyFont="1" applyAlignment="1" applyProtection="1">
      <alignment horizontal="center" vertical="center"/>
      <protection hidden="1"/>
    </xf>
    <xf numFmtId="0" fontId="12" fillId="0" borderId="0" xfId="0" applyFont="1" applyAlignment="1" applyProtection="1">
      <alignment vertical="top" wrapText="1"/>
      <protection hidden="1"/>
    </xf>
    <xf numFmtId="0" fontId="44" fillId="0" borderId="0" xfId="0" applyFont="1" applyAlignment="1" applyProtection="1">
      <alignment horizontal="left" vertical="top" wrapText="1" indent="1"/>
      <protection hidden="1"/>
    </xf>
    <xf numFmtId="0" fontId="16" fillId="0" borderId="0" xfId="0" applyFont="1" applyAlignment="1" applyProtection="1">
      <alignment horizontal="center" vertical="top" wrapText="1"/>
      <protection hidden="1"/>
    </xf>
    <xf numFmtId="0" fontId="16" fillId="0" borderId="0" xfId="0" applyFont="1" applyAlignment="1" applyProtection="1">
      <alignment vertical="top" wrapText="1"/>
      <protection hidden="1"/>
    </xf>
    <xf numFmtId="9" fontId="0" fillId="0" borderId="0" xfId="5" applyFont="1" applyBorder="1" applyAlignment="1" applyProtection="1">
      <alignment horizontal="center"/>
      <protection hidden="1"/>
    </xf>
    <xf numFmtId="0" fontId="10" fillId="0" borderId="0" xfId="0" applyFont="1" applyAlignment="1" applyProtection="1">
      <alignment vertical="top" wrapText="1"/>
      <protection hidden="1"/>
    </xf>
    <xf numFmtId="165" fontId="0" fillId="0" borderId="0" xfId="0" applyNumberFormat="1" applyAlignment="1" applyProtection="1">
      <alignment horizontal="center" vertical="center"/>
      <protection hidden="1"/>
    </xf>
    <xf numFmtId="0" fontId="16" fillId="0" borderId="0" xfId="0" applyFont="1" applyAlignment="1" applyProtection="1">
      <alignment vertical="top" wrapText="1"/>
      <protection hidden="1"/>
    </xf>
    <xf numFmtId="0" fontId="12" fillId="0" borderId="0" xfId="0" applyFont="1" applyAlignment="1" applyProtection="1">
      <alignment vertical="top" wrapText="1"/>
      <protection hidden="1"/>
    </xf>
    <xf numFmtId="0" fontId="1" fillId="0" borderId="0" xfId="0" applyFont="1" applyAlignment="1" applyProtection="1">
      <alignment horizontal="left" wrapText="1" indent="1"/>
      <protection hidden="1"/>
    </xf>
    <xf numFmtId="0" fontId="16" fillId="0" borderId="0" xfId="0" applyFont="1" applyAlignment="1" applyProtection="1">
      <alignment horizontal="center" vertical="center" wrapText="1"/>
      <protection hidden="1"/>
    </xf>
    <xf numFmtId="0" fontId="10" fillId="0" borderId="0" xfId="0" applyFont="1" applyAlignment="1" applyProtection="1">
      <alignment horizontal="left" vertical="top" wrapText="1" indent="1"/>
      <protection hidden="1"/>
    </xf>
    <xf numFmtId="0" fontId="1" fillId="0" borderId="0" xfId="0" applyFont="1" applyAlignment="1" applyProtection="1">
      <alignment horizontal="left" wrapText="1" indent="1"/>
      <protection hidden="1"/>
    </xf>
    <xf numFmtId="165" fontId="1" fillId="0" borderId="0" xfId="0" applyNumberFormat="1" applyFont="1" applyAlignment="1" applyProtection="1">
      <alignment horizontal="center" vertical="center"/>
      <protection hidden="1"/>
    </xf>
    <xf numFmtId="0" fontId="1" fillId="0" borderId="0" xfId="0" applyFont="1" applyAlignment="1" applyProtection="1">
      <alignment horizontal="center"/>
      <protection hidden="1"/>
    </xf>
    <xf numFmtId="0" fontId="1" fillId="0" borderId="0" xfId="0" applyFont="1" applyAlignment="1" applyProtection="1">
      <alignment horizontal="left" indent="1"/>
      <protection hidden="1"/>
    </xf>
    <xf numFmtId="0" fontId="1" fillId="0" borderId="0" xfId="0" applyFont="1" applyAlignment="1" applyProtection="1">
      <alignment horizontal="left"/>
      <protection hidden="1"/>
    </xf>
    <xf numFmtId="0" fontId="61" fillId="0" borderId="0" xfId="0" applyFont="1" applyAlignment="1" applyProtection="1">
      <alignment wrapText="1"/>
      <protection hidden="1"/>
    </xf>
    <xf numFmtId="0" fontId="15" fillId="0" borderId="0" xfId="0" applyFont="1" applyAlignment="1" applyProtection="1">
      <alignment horizontal="left" vertical="top" wrapText="1"/>
      <protection hidden="1"/>
    </xf>
    <xf numFmtId="0" fontId="15" fillId="0" borderId="0" xfId="0" applyFont="1" applyAlignment="1" applyProtection="1">
      <alignment horizontal="left" vertical="top" wrapText="1" indent="2"/>
      <protection hidden="1"/>
    </xf>
    <xf numFmtId="0" fontId="15" fillId="0" borderId="0" xfId="0" applyFont="1" applyAlignment="1" applyProtection="1">
      <alignment horizontal="left" vertical="top" wrapText="1" indent="2"/>
      <protection hidden="1"/>
    </xf>
    <xf numFmtId="0" fontId="55" fillId="0" borderId="0" xfId="0" applyFont="1" applyAlignment="1" applyProtection="1">
      <alignment horizontal="left" vertical="top" wrapText="1" indent="2"/>
      <protection hidden="1"/>
    </xf>
    <xf numFmtId="0" fontId="15" fillId="0" borderId="0" xfId="0" applyFont="1" applyAlignment="1" applyProtection="1">
      <alignment horizontal="left" vertical="top" wrapText="1"/>
      <protection hidden="1"/>
    </xf>
    <xf numFmtId="9" fontId="33" fillId="0" borderId="2" xfId="0" applyNumberFormat="1" applyFont="1" applyBorder="1" applyAlignment="1" applyProtection="1">
      <alignment horizontal="center" vertical="center" wrapText="1"/>
      <protection hidden="1"/>
    </xf>
    <xf numFmtId="0" fontId="33" fillId="0" borderId="2" xfId="0" applyFont="1" applyBorder="1" applyAlignment="1" applyProtection="1">
      <alignment horizontal="center" vertical="top" wrapText="1"/>
      <protection hidden="1"/>
    </xf>
    <xf numFmtId="0" fontId="30" fillId="0" borderId="0" xfId="0" applyFont="1" applyAlignment="1" applyProtection="1">
      <alignment horizontal="left" vertical="top" wrapText="1"/>
      <protection hidden="1"/>
    </xf>
    <xf numFmtId="0" fontId="58" fillId="0" borderId="0" xfId="0" applyFont="1" applyAlignment="1" applyProtection="1">
      <alignment horizontal="left" wrapText="1"/>
      <protection hidden="1"/>
    </xf>
    <xf numFmtId="0" fontId="10" fillId="0" borderId="13" xfId="0" applyFont="1" applyBorder="1" applyAlignment="1" applyProtection="1">
      <alignment horizontal="left" vertical="top" indent="4"/>
      <protection hidden="1"/>
    </xf>
    <xf numFmtId="9" fontId="3" fillId="0" borderId="1" xfId="0" applyNumberFormat="1" applyFont="1" applyBorder="1" applyAlignment="1" applyProtection="1">
      <alignment horizontal="right" vertical="center" wrapText="1"/>
      <protection hidden="1"/>
    </xf>
    <xf numFmtId="0" fontId="30" fillId="0" borderId="7" xfId="0" applyFont="1" applyBorder="1" applyAlignment="1" applyProtection="1">
      <alignment horizontal="left" vertical="top" wrapText="1"/>
      <protection hidden="1"/>
    </xf>
    <xf numFmtId="0" fontId="30" fillId="0" borderId="0" xfId="0" applyFont="1" applyAlignment="1" applyProtection="1">
      <alignment horizontal="left" vertical="top" wrapText="1"/>
      <protection hidden="1"/>
    </xf>
    <xf numFmtId="1" fontId="29" fillId="0" borderId="0" xfId="0" applyNumberFormat="1" applyFont="1" applyAlignment="1" applyProtection="1">
      <alignment horizontal="right" vertical="center" wrapText="1"/>
      <protection hidden="1"/>
    </xf>
    <xf numFmtId="0" fontId="4" fillId="0" borderId="0" xfId="0" applyFont="1" applyAlignment="1" applyProtection="1">
      <alignment horizontal="left" vertical="top" wrapText="1"/>
      <protection hidden="1"/>
    </xf>
    <xf numFmtId="0" fontId="33" fillId="0" borderId="0" xfId="0" applyFont="1" applyAlignment="1" applyProtection="1">
      <alignment horizontal="left"/>
      <protection hidden="1"/>
    </xf>
    <xf numFmtId="9" fontId="0" fillId="0" borderId="0" xfId="0" applyNumberFormat="1" applyProtection="1">
      <protection hidden="1"/>
    </xf>
    <xf numFmtId="0" fontId="33" fillId="0" borderId="13" xfId="0" applyFont="1" applyBorder="1" applyAlignment="1" applyProtection="1">
      <alignment horizontal="left"/>
      <protection hidden="1"/>
    </xf>
    <xf numFmtId="0" fontId="0" fillId="0" borderId="13" xfId="0" applyBorder="1" applyAlignment="1" applyProtection="1">
      <alignment horizontal="right"/>
      <protection hidden="1"/>
    </xf>
    <xf numFmtId="170" fontId="33" fillId="0" borderId="1" xfId="5" applyNumberFormat="1" applyFont="1" applyBorder="1" applyAlignment="1" applyProtection="1">
      <alignment horizontal="center"/>
      <protection hidden="1"/>
    </xf>
    <xf numFmtId="10" fontId="33" fillId="0" borderId="3" xfId="5" applyNumberFormat="1" applyFont="1" applyBorder="1" applyAlignment="1" applyProtection="1">
      <alignment horizontal="center"/>
      <protection hidden="1"/>
    </xf>
    <xf numFmtId="0" fontId="0" fillId="0" borderId="13" xfId="0" applyBorder="1" applyProtection="1">
      <protection hidden="1"/>
    </xf>
    <xf numFmtId="10" fontId="33" fillId="0" borderId="40" xfId="0" applyNumberFormat="1" applyFont="1" applyBorder="1" applyAlignment="1" applyProtection="1">
      <alignment horizontal="right"/>
      <protection hidden="1"/>
    </xf>
    <xf numFmtId="10" fontId="33" fillId="0" borderId="0" xfId="0" applyNumberFormat="1" applyFont="1" applyAlignment="1" applyProtection="1">
      <alignment horizontal="right"/>
      <protection hidden="1"/>
    </xf>
    <xf numFmtId="0" fontId="33" fillId="6" borderId="1" xfId="0" applyFont="1" applyFill="1" applyBorder="1" applyAlignment="1" applyProtection="1">
      <alignment horizontal="center" vertical="top"/>
      <protection hidden="1"/>
    </xf>
    <xf numFmtId="0" fontId="10" fillId="0" borderId="0" xfId="0" applyFont="1" applyAlignment="1" applyProtection="1">
      <alignment horizontal="left" vertical="top"/>
      <protection hidden="1"/>
    </xf>
    <xf numFmtId="0" fontId="53" fillId="0" borderId="13" xfId="0" applyFont="1" applyBorder="1" applyAlignment="1" applyProtection="1">
      <alignment horizontal="right"/>
      <protection hidden="1"/>
    </xf>
    <xf numFmtId="173" fontId="33" fillId="0" borderId="1" xfId="0" applyNumberFormat="1" applyFont="1" applyBorder="1" applyAlignment="1" applyProtection="1">
      <alignment horizontal="center" vertical="top"/>
      <protection hidden="1"/>
    </xf>
    <xf numFmtId="0" fontId="33" fillId="0" borderId="1" xfId="0" applyFont="1" applyBorder="1" applyAlignment="1" applyProtection="1">
      <alignment horizontal="center" vertical="top"/>
      <protection hidden="1"/>
    </xf>
    <xf numFmtId="0" fontId="33" fillId="0" borderId="3" xfId="0" applyFont="1" applyBorder="1" applyAlignment="1" applyProtection="1">
      <alignment horizontal="center" vertical="top"/>
      <protection hidden="1"/>
    </xf>
    <xf numFmtId="0" fontId="1" fillId="0" borderId="13" xfId="0" applyFont="1" applyBorder="1" applyProtection="1">
      <protection hidden="1"/>
    </xf>
    <xf numFmtId="10" fontId="33" fillId="0" borderId="40" xfId="0" applyNumberFormat="1" applyFont="1" applyBorder="1" applyAlignment="1" applyProtection="1">
      <alignment horizontal="right" vertical="top"/>
      <protection hidden="1"/>
    </xf>
    <xf numFmtId="0" fontId="1" fillId="0" borderId="0" xfId="0" applyFont="1" applyAlignment="1" applyProtection="1">
      <alignment horizontal="left" vertical="top"/>
      <protection hidden="1"/>
    </xf>
    <xf numFmtId="9" fontId="1" fillId="0" borderId="0" xfId="0" applyNumberFormat="1" applyFont="1" applyProtection="1">
      <protection hidden="1"/>
    </xf>
    <xf numFmtId="0" fontId="0" fillId="0" borderId="13" xfId="0" quotePrefix="1" applyBorder="1" applyAlignment="1" applyProtection="1">
      <alignment horizontal="right"/>
      <protection hidden="1"/>
    </xf>
    <xf numFmtId="170" fontId="33" fillId="0" borderId="3" xfId="5" applyNumberFormat="1" applyFont="1" applyBorder="1" applyAlignment="1" applyProtection="1">
      <alignment horizontal="center"/>
      <protection hidden="1"/>
    </xf>
    <xf numFmtId="9" fontId="33" fillId="0" borderId="40" xfId="0" applyNumberFormat="1" applyFont="1" applyBorder="1" applyAlignment="1" applyProtection="1">
      <alignment horizontal="right"/>
      <protection hidden="1"/>
    </xf>
    <xf numFmtId="9" fontId="33" fillId="0" borderId="0" xfId="0" applyNumberFormat="1" applyFont="1" applyAlignment="1" applyProtection="1">
      <alignment horizontal="right"/>
      <protection hidden="1"/>
    </xf>
    <xf numFmtId="0" fontId="3" fillId="0" borderId="0" xfId="0" applyFont="1" applyAlignment="1" applyProtection="1">
      <alignment horizontal="center" vertical="top"/>
      <protection hidden="1"/>
    </xf>
    <xf numFmtId="0" fontId="33" fillId="0" borderId="0" xfId="0" applyFont="1" applyAlignment="1" applyProtection="1">
      <alignment vertical="top" wrapText="1"/>
      <protection hidden="1"/>
    </xf>
    <xf numFmtId="0" fontId="33" fillId="0" borderId="0" xfId="0" applyFont="1" applyAlignment="1" applyProtection="1">
      <alignment horizontal="left" vertical="top" wrapText="1"/>
      <protection hidden="1"/>
    </xf>
    <xf numFmtId="0" fontId="33" fillId="0" borderId="13" xfId="0" applyFont="1" applyBorder="1" applyAlignment="1" applyProtection="1">
      <alignment horizontal="left" vertical="top" wrapText="1"/>
      <protection hidden="1"/>
    </xf>
    <xf numFmtId="0" fontId="33" fillId="6" borderId="1" xfId="0" applyFont="1" applyFill="1" applyBorder="1" applyAlignment="1" applyProtection="1">
      <alignment horizontal="center" vertical="top" wrapText="1"/>
      <protection hidden="1"/>
    </xf>
    <xf numFmtId="0" fontId="1" fillId="0" borderId="0" xfId="0" applyFont="1" applyAlignment="1" applyProtection="1">
      <alignment horizontal="left" vertical="top" indent="5"/>
      <protection hidden="1"/>
    </xf>
    <xf numFmtId="9" fontId="33" fillId="0" borderId="1" xfId="0" applyNumberFormat="1" applyFont="1" applyBorder="1" applyAlignment="1" applyProtection="1">
      <alignment horizontal="center"/>
      <protection hidden="1"/>
    </xf>
    <xf numFmtId="0" fontId="1" fillId="0" borderId="0" xfId="0" applyFont="1" applyAlignment="1" applyProtection="1">
      <alignment horizontal="left" vertical="top" wrapText="1" indent="5"/>
      <protection hidden="1"/>
    </xf>
    <xf numFmtId="9" fontId="18" fillId="0" borderId="0" xfId="5" applyFont="1" applyBorder="1" applyAlignment="1" applyProtection="1">
      <alignment horizontal="left"/>
      <protection hidden="1"/>
    </xf>
    <xf numFmtId="9" fontId="30" fillId="0" borderId="0" xfId="0" applyNumberFormat="1" applyFont="1" applyProtection="1">
      <protection hidden="1"/>
    </xf>
    <xf numFmtId="9" fontId="33" fillId="0" borderId="1" xfId="5" applyFont="1" applyBorder="1" applyAlignment="1" applyProtection="1">
      <alignment horizontal="center" vertical="center"/>
      <protection hidden="1"/>
    </xf>
    <xf numFmtId="0" fontId="1" fillId="0" borderId="0" xfId="0" applyFont="1" applyAlignment="1" applyProtection="1">
      <alignment horizontal="left" indent="1"/>
      <protection hidden="1"/>
    </xf>
    <xf numFmtId="0" fontId="1" fillId="0" borderId="13" xfId="0" applyFont="1" applyBorder="1" applyAlignment="1" applyProtection="1">
      <alignment horizontal="left" indent="1"/>
      <protection hidden="1"/>
    </xf>
    <xf numFmtId="170" fontId="33" fillId="0" borderId="1" xfId="0" applyNumberFormat="1" applyFont="1" applyBorder="1" applyAlignment="1" applyProtection="1">
      <alignment horizontal="center"/>
      <protection hidden="1"/>
    </xf>
    <xf numFmtId="0" fontId="1" fillId="0" borderId="0" xfId="0" applyFont="1" applyAlignment="1" applyProtection="1">
      <alignment horizontal="left" vertical="top" wrapText="1" indent="1"/>
      <protection hidden="1"/>
    </xf>
    <xf numFmtId="0" fontId="1" fillId="0" borderId="13" xfId="0" applyFont="1" applyBorder="1" applyAlignment="1" applyProtection="1">
      <alignment horizontal="left" vertical="top" wrapText="1" indent="1"/>
      <protection hidden="1"/>
    </xf>
    <xf numFmtId="0" fontId="0" fillId="0" borderId="0" xfId="0" applyAlignment="1" applyProtection="1">
      <alignment horizontal="left" vertical="top" wrapText="1" indent="1"/>
      <protection hidden="1"/>
    </xf>
    <xf numFmtId="0" fontId="0" fillId="0" borderId="13" xfId="0" applyBorder="1" applyAlignment="1" applyProtection="1">
      <alignment horizontal="left" vertical="top" wrapText="1" indent="1"/>
      <protection hidden="1"/>
    </xf>
    <xf numFmtId="170" fontId="33" fillId="0" borderId="3" xfId="0" applyNumberFormat="1" applyFont="1" applyBorder="1" applyAlignment="1" applyProtection="1">
      <alignment horizontal="center"/>
      <protection hidden="1"/>
    </xf>
    <xf numFmtId="0" fontId="0" fillId="0" borderId="0" xfId="0" applyAlignment="1" applyProtection="1">
      <alignment horizontal="right" indent="1"/>
      <protection hidden="1"/>
    </xf>
    <xf numFmtId="0" fontId="0" fillId="0" borderId="13" xfId="0" applyBorder="1" applyAlignment="1" applyProtection="1">
      <alignment horizontal="right" indent="1"/>
      <protection hidden="1"/>
    </xf>
    <xf numFmtId="170" fontId="33" fillId="0" borderId="40" xfId="0" applyNumberFormat="1" applyFont="1" applyBorder="1" applyProtection="1">
      <protection hidden="1"/>
    </xf>
    <xf numFmtId="0" fontId="4" fillId="0" borderId="13" xfId="0" applyFont="1" applyBorder="1" applyAlignment="1" applyProtection="1">
      <alignment horizontal="left" vertical="top" wrapText="1"/>
      <protection hidden="1"/>
    </xf>
    <xf numFmtId="0" fontId="0" fillId="0" borderId="15" xfId="0" applyBorder="1" applyAlignment="1" applyProtection="1">
      <alignment horizontal="left" vertical="top" wrapText="1"/>
      <protection hidden="1"/>
    </xf>
    <xf numFmtId="2" fontId="33" fillId="0" borderId="1" xfId="0" applyNumberFormat="1" applyFont="1" applyBorder="1" applyAlignment="1" applyProtection="1">
      <alignment horizontal="center" vertical="center"/>
      <protection hidden="1"/>
    </xf>
    <xf numFmtId="164" fontId="0" fillId="0" borderId="0" xfId="0" applyNumberFormat="1" applyAlignment="1" applyProtection="1">
      <alignment horizontal="center"/>
      <protection hidden="1"/>
    </xf>
    <xf numFmtId="0" fontId="10" fillId="0" borderId="0" xfId="0" applyFont="1" applyAlignment="1" applyProtection="1">
      <alignment horizontal="right"/>
      <protection hidden="1"/>
    </xf>
    <xf numFmtId="0" fontId="10" fillId="0" borderId="1" xfId="0" applyFont="1" applyBorder="1" applyAlignment="1" applyProtection="1">
      <alignment horizontal="center" vertical="center"/>
      <protection hidden="1"/>
    </xf>
    <xf numFmtId="166" fontId="33" fillId="0" borderId="1" xfId="0" applyNumberFormat="1" applyFont="1" applyBorder="1" applyAlignment="1" applyProtection="1">
      <alignment horizontal="center" vertical="top"/>
      <protection hidden="1"/>
    </xf>
    <xf numFmtId="5" fontId="0" fillId="0" borderId="0" xfId="3" applyNumberFormat="1" applyFont="1" applyBorder="1" applyAlignment="1" applyProtection="1">
      <alignment horizontal="center"/>
      <protection hidden="1"/>
    </xf>
    <xf numFmtId="166" fontId="33" fillId="0" borderId="0" xfId="0" applyNumberFormat="1" applyFont="1" applyAlignment="1" applyProtection="1">
      <alignment horizontal="center" vertical="center"/>
      <protection hidden="1"/>
    </xf>
    <xf numFmtId="0" fontId="1" fillId="0" borderId="0" xfId="0" applyFont="1" applyAlignment="1" applyProtection="1">
      <alignment horizontal="right" vertical="top" wrapText="1"/>
      <protection hidden="1"/>
    </xf>
    <xf numFmtId="0" fontId="1" fillId="0" borderId="0" xfId="0" applyFont="1" applyAlignment="1" applyProtection="1">
      <alignment horizontal="center" wrapText="1"/>
      <protection hidden="1"/>
    </xf>
    <xf numFmtId="0" fontId="3" fillId="0" borderId="13" xfId="0" applyFont="1" applyBorder="1" applyAlignment="1" applyProtection="1">
      <alignment horizontal="left" vertical="top" wrapText="1"/>
      <protection hidden="1"/>
    </xf>
    <xf numFmtId="0" fontId="1" fillId="0" borderId="13" xfId="0" applyFont="1" applyBorder="1" applyAlignment="1" applyProtection="1">
      <alignment horizontal="left" vertical="top" wrapText="1"/>
      <protection hidden="1"/>
    </xf>
    <xf numFmtId="167" fontId="1" fillId="0" borderId="0" xfId="0" applyNumberFormat="1" applyFont="1" applyAlignment="1" applyProtection="1">
      <alignment horizontal="right" vertical="top"/>
      <protection hidden="1"/>
    </xf>
    <xf numFmtId="167" fontId="33" fillId="6" borderId="1" xfId="0" applyNumberFormat="1" applyFont="1" applyFill="1" applyBorder="1" applyAlignment="1" applyProtection="1">
      <alignment horizontal="center" vertical="top"/>
      <protection hidden="1"/>
    </xf>
    <xf numFmtId="167" fontId="1" fillId="0" borderId="1" xfId="0" applyNumberFormat="1" applyFont="1" applyBorder="1" applyAlignment="1" applyProtection="1">
      <alignment horizontal="center" vertical="center"/>
      <protection hidden="1"/>
    </xf>
    <xf numFmtId="0" fontId="14" fillId="0" borderId="0" xfId="0" applyFont="1" applyProtection="1">
      <protection hidden="1"/>
    </xf>
    <xf numFmtId="16" fontId="33" fillId="0" borderId="2" xfId="0" applyNumberFormat="1" applyFont="1" applyBorder="1" applyAlignment="1" applyProtection="1">
      <alignment horizontal="center" vertical="center"/>
      <protection hidden="1"/>
    </xf>
    <xf numFmtId="0" fontId="10" fillId="0" borderId="0" xfId="0" applyFont="1" applyAlignment="1" applyProtection="1">
      <alignment horizontal="left" indent="1"/>
      <protection hidden="1"/>
    </xf>
    <xf numFmtId="16" fontId="1" fillId="0" borderId="9" xfId="0" applyNumberFormat="1" applyFont="1" applyBorder="1" applyAlignment="1" applyProtection="1">
      <alignment horizontal="center"/>
      <protection hidden="1"/>
    </xf>
    <xf numFmtId="0" fontId="1" fillId="0" borderId="9" xfId="0" applyFont="1" applyBorder="1" applyAlignment="1" applyProtection="1">
      <alignment horizontal="center"/>
      <protection hidden="1"/>
    </xf>
    <xf numFmtId="0" fontId="1" fillId="0" borderId="2" xfId="0" applyFont="1" applyBorder="1" applyAlignment="1" applyProtection="1">
      <alignment horizontal="center"/>
      <protection hidden="1"/>
    </xf>
    <xf numFmtId="0" fontId="10" fillId="0" borderId="0" xfId="0" applyFont="1" applyAlignment="1" applyProtection="1">
      <alignment horizontal="left"/>
      <protection hidden="1"/>
    </xf>
    <xf numFmtId="0" fontId="10" fillId="0" borderId="0" xfId="0" applyFont="1" applyProtection="1">
      <protection hidden="1"/>
    </xf>
    <xf numFmtId="166" fontId="33" fillId="0" borderId="9" xfId="0" applyNumberFormat="1" applyFont="1" applyBorder="1" applyAlignment="1" applyProtection="1">
      <alignment horizontal="center" vertical="top"/>
      <protection hidden="1"/>
    </xf>
    <xf numFmtId="166" fontId="33" fillId="0" borderId="0" xfId="0" applyNumberFormat="1" applyFont="1" applyAlignment="1" applyProtection="1">
      <alignment horizontal="center" vertical="top"/>
      <protection hidden="1"/>
    </xf>
    <xf numFmtId="167" fontId="4" fillId="0" borderId="0" xfId="0" applyNumberFormat="1" applyFont="1" applyAlignment="1" applyProtection="1">
      <alignment horizontal="center" vertical="top"/>
      <protection hidden="1"/>
    </xf>
    <xf numFmtId="0" fontId="1" fillId="0" borderId="0" xfId="0" applyFont="1" applyAlignment="1" applyProtection="1">
      <alignment horizontal="left" vertical="top" indent="6"/>
      <protection hidden="1"/>
    </xf>
    <xf numFmtId="0" fontId="1" fillId="0" borderId="0" xfId="0" applyFont="1" applyAlignment="1" applyProtection="1">
      <alignment horizontal="left" vertical="top" indent="6"/>
      <protection hidden="1"/>
    </xf>
    <xf numFmtId="0" fontId="1" fillId="0" borderId="0" xfId="0" applyFont="1" applyAlignment="1" applyProtection="1">
      <alignment vertical="top" wrapText="1"/>
      <protection hidden="1"/>
    </xf>
    <xf numFmtId="0" fontId="3" fillId="0" borderId="0" xfId="0" applyFont="1" applyAlignment="1" applyProtection="1">
      <alignment vertical="center"/>
      <protection hidden="1"/>
    </xf>
    <xf numFmtId="0" fontId="33" fillId="0" borderId="0" xfId="0" applyFont="1" applyAlignment="1" applyProtection="1">
      <alignment horizontal="left" vertical="center" wrapText="1" indent="1"/>
      <protection hidden="1"/>
    </xf>
    <xf numFmtId="37" fontId="33" fillId="0" borderId="1" xfId="2" applyNumberFormat="1" applyFont="1" applyBorder="1" applyAlignment="1" applyProtection="1">
      <alignment horizontal="center" vertical="center"/>
      <protection hidden="1"/>
    </xf>
    <xf numFmtId="0" fontId="3" fillId="0" borderId="0" xfId="0" applyFont="1" applyAlignment="1" applyProtection="1">
      <alignment horizontal="right" vertical="center"/>
      <protection hidden="1"/>
    </xf>
    <xf numFmtId="37" fontId="3" fillId="0" borderId="1" xfId="2" applyNumberFormat="1" applyFont="1" applyBorder="1" applyAlignment="1" applyProtection="1">
      <alignment horizontal="center" vertical="center"/>
      <protection hidden="1"/>
    </xf>
    <xf numFmtId="0" fontId="34" fillId="0" borderId="0" xfId="0" applyFont="1" applyAlignment="1" applyProtection="1">
      <alignment horizontal="left" vertical="top"/>
      <protection hidden="1"/>
    </xf>
    <xf numFmtId="0" fontId="37" fillId="0" borderId="0" xfId="0" applyFont="1" applyAlignment="1" applyProtection="1">
      <alignment horizontal="left" vertical="top"/>
      <protection hidden="1"/>
    </xf>
    <xf numFmtId="0" fontId="1" fillId="0" borderId="0" xfId="0" applyFont="1" applyAlignment="1" applyProtection="1">
      <alignment horizontal="left" vertical="center" indent="1"/>
      <protection hidden="1"/>
    </xf>
    <xf numFmtId="0" fontId="21" fillId="0" borderId="0" xfId="0" applyFont="1" applyProtection="1">
      <protection hidden="1"/>
    </xf>
    <xf numFmtId="0" fontId="0" fillId="0" borderId="2" xfId="0" applyBorder="1" applyAlignment="1" applyProtection="1">
      <alignment horizontal="left" vertical="top"/>
      <protection hidden="1"/>
    </xf>
    <xf numFmtId="0" fontId="43" fillId="5" borderId="1" xfId="0" applyFont="1" applyFill="1" applyBorder="1" applyAlignment="1" applyProtection="1">
      <alignment horizontal="center" vertical="center" wrapText="1"/>
      <protection hidden="1"/>
    </xf>
    <xf numFmtId="0" fontId="51" fillId="0" borderId="0" xfId="0" applyFont="1" applyProtection="1">
      <protection hidden="1"/>
    </xf>
    <xf numFmtId="0" fontId="4" fillId="0" borderId="2" xfId="0" applyFont="1" applyBorder="1" applyAlignment="1" applyProtection="1">
      <alignment horizontal="left" vertical="top" wrapText="1"/>
      <protection hidden="1"/>
    </xf>
    <xf numFmtId="0" fontId="0" fillId="0" borderId="0" xfId="0" applyAlignment="1" applyProtection="1">
      <alignment horizontal="left" indent="15"/>
      <protection hidden="1"/>
    </xf>
    <xf numFmtId="167" fontId="0" fillId="0" borderId="1" xfId="0" applyNumberFormat="1" applyBorder="1" applyAlignment="1" applyProtection="1">
      <alignment horizontal="right"/>
      <protection hidden="1"/>
    </xf>
    <xf numFmtId="2" fontId="42" fillId="0" borderId="12" xfId="1" applyNumberFormat="1" applyFont="1" applyFill="1" applyBorder="1" applyAlignment="1" applyProtection="1">
      <alignment horizontal="center" vertical="center" wrapText="1"/>
      <protection hidden="1"/>
    </xf>
    <xf numFmtId="0" fontId="42" fillId="0" borderId="1" xfId="1" applyFont="1" applyFill="1" applyBorder="1" applyAlignment="1" applyProtection="1">
      <alignment horizontal="center" vertical="center"/>
      <protection hidden="1"/>
    </xf>
    <xf numFmtId="0" fontId="46" fillId="0" borderId="1" xfId="1" applyFont="1" applyFill="1" applyBorder="1" applyAlignment="1" applyProtection="1">
      <alignment horizontal="center" vertical="center"/>
      <protection hidden="1"/>
    </xf>
    <xf numFmtId="1" fontId="42" fillId="0" borderId="1" xfId="1" applyNumberFormat="1" applyFont="1" applyFill="1" applyBorder="1" applyAlignment="1" applyProtection="1">
      <alignment horizontal="center" vertical="center" wrapText="1"/>
      <protection hidden="1"/>
    </xf>
    <xf numFmtId="0" fontId="1" fillId="0" borderId="10" xfId="0" applyFont="1" applyBorder="1" applyAlignment="1" applyProtection="1">
      <alignment horizontal="left" vertical="top" wrapText="1"/>
      <protection hidden="1"/>
    </xf>
    <xf numFmtId="0" fontId="1" fillId="0" borderId="14" xfId="0" applyFont="1" applyBorder="1" applyAlignment="1" applyProtection="1">
      <alignment horizontal="left" vertical="top" wrapText="1"/>
      <protection hidden="1"/>
    </xf>
    <xf numFmtId="0" fontId="1" fillId="0" borderId="11" xfId="0" applyFont="1" applyBorder="1" applyAlignment="1" applyProtection="1">
      <alignment horizontal="left" vertical="top" wrapText="1"/>
      <protection hidden="1"/>
    </xf>
    <xf numFmtId="0" fontId="1" fillId="0" borderId="4" xfId="0" applyFont="1" applyBorder="1" applyAlignment="1" applyProtection="1">
      <alignment horizontal="left" vertical="top" wrapText="1"/>
      <protection hidden="1"/>
    </xf>
    <xf numFmtId="0" fontId="1" fillId="0" borderId="2" xfId="0" applyFont="1" applyBorder="1" applyAlignment="1" applyProtection="1">
      <alignment horizontal="left" vertical="top" wrapText="1"/>
      <protection hidden="1"/>
    </xf>
    <xf numFmtId="0" fontId="1" fillId="0" borderId="8" xfId="0" applyFont="1" applyBorder="1" applyAlignment="1" applyProtection="1">
      <alignment horizontal="left" vertical="top" wrapText="1"/>
      <protection hidden="1"/>
    </xf>
    <xf numFmtId="0" fontId="34" fillId="0" borderId="0" xfId="0" applyFont="1" applyAlignment="1" applyProtection="1">
      <alignment vertical="center"/>
      <protection hidden="1"/>
    </xf>
    <xf numFmtId="0" fontId="48" fillId="0" borderId="0" xfId="0" applyFont="1" applyAlignment="1" applyProtection="1">
      <alignment vertical="center"/>
      <protection hidden="1"/>
    </xf>
    <xf numFmtId="0" fontId="1" fillId="0" borderId="0" xfId="0" applyFont="1" applyAlignment="1" applyProtection="1">
      <alignment horizontal="left" indent="8"/>
      <protection hidden="1"/>
    </xf>
    <xf numFmtId="0" fontId="0" fillId="0" borderId="0" xfId="0" applyAlignment="1" applyProtection="1">
      <alignment horizontal="left" indent="8"/>
      <protection hidden="1"/>
    </xf>
    <xf numFmtId="0" fontId="33" fillId="0" borderId="1" xfId="0" applyFont="1" applyBorder="1" applyAlignment="1" applyProtection="1">
      <alignment horizontal="center" vertical="top" wrapText="1"/>
      <protection hidden="1"/>
    </xf>
    <xf numFmtId="0" fontId="53" fillId="0" borderId="0" xfId="0" applyFont="1" applyAlignment="1" applyProtection="1">
      <alignment horizontal="left" wrapText="1"/>
      <protection hidden="1"/>
    </xf>
    <xf numFmtId="0" fontId="53" fillId="0" borderId="13" xfId="0" applyFont="1" applyBorder="1" applyAlignment="1" applyProtection="1">
      <alignment horizontal="left" wrapText="1"/>
      <protection hidden="1"/>
    </xf>
    <xf numFmtId="0" fontId="33" fillId="0" borderId="3" xfId="0" applyFont="1" applyBorder="1" applyAlignment="1" applyProtection="1">
      <alignment horizontal="center" vertical="center"/>
      <protection hidden="1"/>
    </xf>
    <xf numFmtId="0" fontId="33" fillId="0" borderId="3" xfId="0" applyFont="1" applyBorder="1" applyAlignment="1" applyProtection="1">
      <alignment horizontal="center" vertical="center" wrapText="1"/>
      <protection hidden="1"/>
    </xf>
    <xf numFmtId="0" fontId="33" fillId="0" borderId="12" xfId="0" applyFont="1" applyBorder="1" applyAlignment="1" applyProtection="1">
      <alignment horizontal="center" vertical="center"/>
      <protection hidden="1"/>
    </xf>
    <xf numFmtId="0" fontId="33" fillId="0" borderId="12" xfId="0" applyFont="1" applyBorder="1" applyAlignment="1" applyProtection="1">
      <alignment horizontal="center" vertical="center" wrapText="1"/>
      <protection hidden="1"/>
    </xf>
    <xf numFmtId="0" fontId="53" fillId="0" borderId="0" xfId="0" applyFont="1" applyAlignment="1" applyProtection="1">
      <alignment horizontal="left" vertical="center" wrapText="1"/>
      <protection hidden="1"/>
    </xf>
    <xf numFmtId="0" fontId="53" fillId="0" borderId="13" xfId="0" applyFont="1" applyBorder="1" applyAlignment="1" applyProtection="1">
      <alignment horizontal="left" vertical="center" wrapText="1"/>
      <protection hidden="1"/>
    </xf>
    <xf numFmtId="0" fontId="33" fillId="0" borderId="15" xfId="0" applyFont="1" applyBorder="1" applyAlignment="1" applyProtection="1">
      <alignment horizontal="center" vertical="center"/>
      <protection hidden="1"/>
    </xf>
    <xf numFmtId="0" fontId="33" fillId="0" borderId="15" xfId="0" applyFont="1" applyBorder="1" applyAlignment="1" applyProtection="1">
      <alignment horizontal="center" vertical="center" wrapText="1"/>
      <protection hidden="1"/>
    </xf>
    <xf numFmtId="0" fontId="1" fillId="0" borderId="0" xfId="0" applyFont="1" applyAlignment="1" applyProtection="1">
      <alignment horizontal="left" wrapText="1"/>
      <protection hidden="1"/>
    </xf>
    <xf numFmtId="0" fontId="1" fillId="0" borderId="13" xfId="0" applyFont="1" applyBorder="1" applyAlignment="1" applyProtection="1">
      <alignment horizontal="left" wrapText="1"/>
      <protection hidden="1"/>
    </xf>
    <xf numFmtId="0" fontId="1" fillId="0" borderId="10" xfId="0" applyFont="1" applyBorder="1" applyAlignment="1" applyProtection="1">
      <alignment vertical="top"/>
      <protection hidden="1"/>
    </xf>
    <xf numFmtId="0" fontId="0" fillId="0" borderId="14" xfId="0" applyBorder="1" applyProtection="1">
      <protection hidden="1"/>
    </xf>
    <xf numFmtId="0" fontId="0" fillId="0" borderId="11" xfId="0" applyBorder="1" applyProtection="1">
      <protection hidden="1"/>
    </xf>
    <xf numFmtId="0" fontId="0" fillId="0" borderId="13" xfId="0" applyBorder="1" applyProtection="1">
      <protection hidden="1"/>
    </xf>
    <xf numFmtId="0" fontId="0" fillId="0" borderId="4" xfId="0" applyBorder="1" applyProtection="1">
      <protection hidden="1"/>
    </xf>
    <xf numFmtId="49" fontId="0" fillId="0" borderId="0" xfId="0" applyNumberFormat="1" applyAlignment="1" applyProtection="1">
      <alignment horizontal="center"/>
      <protection hidden="1"/>
    </xf>
    <xf numFmtId="49" fontId="33" fillId="0" borderId="0" xfId="0" applyNumberFormat="1" applyFont="1" applyAlignment="1" applyProtection="1">
      <alignment horizontal="center"/>
      <protection hidden="1"/>
    </xf>
    <xf numFmtId="0" fontId="0" fillId="0" borderId="14" xfId="0" applyBorder="1" applyAlignment="1" applyProtection="1">
      <alignment horizontal="left" vertical="top"/>
      <protection hidden="1"/>
    </xf>
    <xf numFmtId="49" fontId="33" fillId="0" borderId="1" xfId="0" applyNumberFormat="1" applyFont="1" applyBorder="1" applyAlignment="1" applyProtection="1">
      <alignment horizontal="center"/>
      <protection hidden="1"/>
    </xf>
    <xf numFmtId="0" fontId="18" fillId="0" borderId="0" xfId="0" applyFont="1" applyAlignment="1" applyProtection="1">
      <alignment wrapText="1"/>
      <protection hidden="1"/>
    </xf>
    <xf numFmtId="0" fontId="18" fillId="0" borderId="0" xfId="0" applyFont="1" applyAlignment="1" applyProtection="1">
      <alignment wrapText="1"/>
      <protection hidden="1"/>
    </xf>
    <xf numFmtId="0" fontId="7" fillId="0" borderId="0" xfId="0" applyFont="1" applyAlignment="1" applyProtection="1">
      <alignment vertical="top" wrapText="1"/>
      <protection hidden="1"/>
    </xf>
    <xf numFmtId="9" fontId="33" fillId="5" borderId="1" xfId="0" applyNumberFormat="1" applyFont="1" applyFill="1" applyBorder="1" applyAlignment="1" applyProtection="1">
      <alignment horizontal="center" vertical="center" wrapText="1"/>
      <protection hidden="1"/>
    </xf>
    <xf numFmtId="9" fontId="33" fillId="0" borderId="1" xfId="0" applyNumberFormat="1" applyFont="1" applyBorder="1" applyAlignment="1" applyProtection="1">
      <alignment horizontal="right" wrapText="1"/>
      <protection hidden="1"/>
    </xf>
    <xf numFmtId="0" fontId="0" fillId="0" borderId="13" xfId="0" applyBorder="1" applyAlignment="1" applyProtection="1">
      <alignment horizontal="left" vertical="top" wrapText="1"/>
      <protection hidden="1"/>
    </xf>
    <xf numFmtId="9" fontId="42" fillId="0" borderId="1" xfId="1" applyNumberFormat="1" applyFont="1" applyFill="1" applyBorder="1" applyAlignment="1" applyProtection="1">
      <alignment horizontal="right"/>
      <protection hidden="1"/>
    </xf>
    <xf numFmtId="9" fontId="33" fillId="0" borderId="1" xfId="0" applyNumberFormat="1" applyFont="1" applyBorder="1" applyAlignment="1" applyProtection="1">
      <alignment horizontal="right"/>
      <protection hidden="1"/>
    </xf>
    <xf numFmtId="9" fontId="33" fillId="0" borderId="1" xfId="5" applyFont="1" applyFill="1" applyBorder="1" applyAlignment="1" applyProtection="1">
      <alignment horizontal="right"/>
      <protection hidden="1"/>
    </xf>
    <xf numFmtId="170" fontId="33" fillId="0" borderId="1" xfId="0" applyNumberFormat="1" applyFont="1" applyBorder="1" applyAlignment="1" applyProtection="1">
      <alignment horizontal="right"/>
      <protection hidden="1"/>
    </xf>
    <xf numFmtId="170" fontId="33" fillId="0" borderId="1" xfId="5" applyNumberFormat="1" applyFont="1" applyBorder="1" applyAlignment="1" applyProtection="1">
      <alignment horizontal="right"/>
      <protection hidden="1"/>
    </xf>
    <xf numFmtId="1" fontId="33" fillId="0" borderId="1" xfId="0" applyNumberFormat="1" applyFont="1" applyBorder="1" applyAlignment="1" applyProtection="1">
      <alignment horizontal="right"/>
      <protection hidden="1"/>
    </xf>
    <xf numFmtId="0" fontId="54" fillId="0" borderId="0" xfId="0" applyFont="1" applyProtection="1">
      <protection hidden="1"/>
    </xf>
    <xf numFmtId="0" fontId="10" fillId="0" borderId="7" xfId="0" applyFont="1" applyBorder="1" applyProtection="1">
      <protection hidden="1"/>
    </xf>
    <xf numFmtId="49" fontId="33" fillId="0" borderId="0" xfId="0" applyNumberFormat="1" applyFont="1" applyAlignment="1" applyProtection="1">
      <alignment horizontal="center" vertical="center"/>
      <protection hidden="1"/>
    </xf>
    <xf numFmtId="0" fontId="0" fillId="0" borderId="7" xfId="0" applyBorder="1" applyAlignment="1" applyProtection="1">
      <alignment horizontal="left" vertical="top" wrapText="1"/>
      <protection hidden="1"/>
    </xf>
    <xf numFmtId="0" fontId="10" fillId="0" borderId="7" xfId="0" applyFont="1" applyBorder="1" applyAlignment="1" applyProtection="1">
      <alignment wrapText="1"/>
      <protection hidden="1"/>
    </xf>
    <xf numFmtId="0" fontId="0" fillId="0" borderId="0" xfId="0" applyAlignment="1" applyProtection="1">
      <alignment horizontal="center" vertical="center" wrapText="1"/>
      <protection hidden="1"/>
    </xf>
    <xf numFmtId="0" fontId="0" fillId="0" borderId="13" xfId="0" applyBorder="1" applyAlignment="1" applyProtection="1">
      <alignment horizontal="center" vertical="center" wrapText="1"/>
      <protection hidden="1"/>
    </xf>
    <xf numFmtId="0" fontId="33" fillId="9" borderId="1" xfId="0" applyFont="1" applyFill="1" applyBorder="1" applyAlignment="1" applyProtection="1">
      <alignment horizontal="center" vertical="center" wrapText="1"/>
      <protection hidden="1"/>
    </xf>
    <xf numFmtId="0" fontId="37" fillId="0" borderId="0" xfId="0" applyFont="1" applyAlignment="1" applyProtection="1">
      <alignment horizontal="center" vertical="center" wrapText="1"/>
      <protection hidden="1"/>
    </xf>
    <xf numFmtId="0" fontId="10" fillId="0" borderId="0" xfId="0" applyFont="1" applyAlignment="1" applyProtection="1">
      <alignment horizontal="right" indent="1"/>
      <protection hidden="1"/>
    </xf>
    <xf numFmtId="0" fontId="10" fillId="0" borderId="13" xfId="0" applyFont="1" applyBorder="1" applyAlignment="1" applyProtection="1">
      <alignment horizontal="right" indent="1"/>
      <protection hidden="1"/>
    </xf>
    <xf numFmtId="49" fontId="33" fillId="0" borderId="6" xfId="0" applyNumberFormat="1" applyFont="1" applyBorder="1" applyAlignment="1" applyProtection="1">
      <alignment horizontal="center" vertical="center"/>
      <protection hidden="1"/>
    </xf>
    <xf numFmtId="0" fontId="4" fillId="0" borderId="1" xfId="0" applyFont="1" applyBorder="1" applyAlignment="1" applyProtection="1">
      <alignment vertical="top" wrapText="1"/>
      <protection hidden="1"/>
    </xf>
    <xf numFmtId="0" fontId="1" fillId="0" borderId="7" xfId="0" applyFont="1" applyBorder="1" applyAlignment="1" applyProtection="1">
      <alignment horizontal="left" vertical="top" wrapText="1"/>
      <protection hidden="1"/>
    </xf>
    <xf numFmtId="0" fontId="51" fillId="0" borderId="0" xfId="0" applyFont="1" applyAlignment="1" applyProtection="1">
      <alignment horizontal="left" vertical="top" wrapText="1"/>
      <protection hidden="1"/>
    </xf>
    <xf numFmtId="49" fontId="0" fillId="0" borderId="0" xfId="0" applyNumberFormat="1" applyAlignment="1" applyProtection="1">
      <alignment horizontal="center" vertical="center"/>
      <protection hidden="1"/>
    </xf>
    <xf numFmtId="0" fontId="2" fillId="0" borderId="0" xfId="0" applyFont="1" applyAlignment="1" applyProtection="1">
      <alignment horizontal="center" vertical="center"/>
      <protection hidden="1"/>
    </xf>
    <xf numFmtId="0" fontId="4" fillId="0" borderId="0" xfId="0" applyFont="1" applyAlignment="1" applyProtection="1">
      <alignment horizontal="left" vertical="center"/>
      <protection hidden="1"/>
    </xf>
    <xf numFmtId="0" fontId="4" fillId="0" borderId="0" xfId="0" applyFont="1" applyAlignment="1" applyProtection="1">
      <alignment horizontal="left" vertical="center"/>
      <protection hidden="1"/>
    </xf>
    <xf numFmtId="0" fontId="22" fillId="0" borderId="0" xfId="4" applyAlignment="1" applyProtection="1">
      <alignment horizontal="right" vertical="center"/>
      <protection hidden="1"/>
    </xf>
    <xf numFmtId="0" fontId="33" fillId="0" borderId="0" xfId="0" applyFont="1" applyAlignment="1" applyProtection="1">
      <alignment horizontal="right" vertical="center"/>
      <protection hidden="1"/>
    </xf>
    <xf numFmtId="0" fontId="4" fillId="0" borderId="0" xfId="0" applyFont="1" applyAlignment="1" applyProtection="1">
      <alignment horizontal="left" vertical="top"/>
      <protection hidden="1"/>
    </xf>
    <xf numFmtId="17" fontId="33" fillId="0" borderId="2" xfId="0" applyNumberFormat="1" applyFont="1" applyBorder="1" applyAlignment="1" applyProtection="1">
      <alignment horizontal="left" vertical="top" wrapText="1"/>
      <protection hidden="1"/>
    </xf>
    <xf numFmtId="167" fontId="4" fillId="0" borderId="0" xfId="0" applyNumberFormat="1" applyFont="1" applyAlignment="1" applyProtection="1">
      <alignment horizontal="center" vertical="top" wrapText="1"/>
      <protection hidden="1"/>
    </xf>
    <xf numFmtId="0" fontId="33" fillId="0" borderId="0" xfId="0" applyFont="1" applyAlignment="1" applyProtection="1">
      <alignment horizontal="right" vertical="top" wrapText="1"/>
      <protection hidden="1"/>
    </xf>
    <xf numFmtId="0" fontId="33" fillId="5" borderId="20" xfId="0" applyFont="1" applyFill="1" applyBorder="1" applyAlignment="1" applyProtection="1">
      <alignment horizontal="center"/>
      <protection hidden="1"/>
    </xf>
    <xf numFmtId="0" fontId="33" fillId="5" borderId="26" xfId="0" applyFont="1" applyFill="1" applyBorder="1" applyAlignment="1" applyProtection="1">
      <alignment horizontal="center"/>
      <protection hidden="1"/>
    </xf>
    <xf numFmtId="168" fontId="33" fillId="0" borderId="27" xfId="3" applyNumberFormat="1" applyFont="1" applyFill="1" applyBorder="1" applyAlignment="1" applyProtection="1">
      <alignment horizontal="center"/>
      <protection hidden="1"/>
    </xf>
    <xf numFmtId="168" fontId="33" fillId="0" borderId="28" xfId="3" applyNumberFormat="1" applyFont="1" applyFill="1" applyBorder="1" applyAlignment="1" applyProtection="1">
      <alignment horizontal="center"/>
      <protection hidden="1"/>
    </xf>
    <xf numFmtId="168" fontId="33" fillId="0" borderId="23" xfId="3" applyNumberFormat="1" applyFont="1" applyFill="1" applyBorder="1" applyAlignment="1" applyProtection="1">
      <alignment horizontal="center"/>
      <protection hidden="1"/>
    </xf>
    <xf numFmtId="168" fontId="33" fillId="0" borderId="29" xfId="3" applyNumberFormat="1" applyFont="1" applyFill="1" applyBorder="1" applyAlignment="1" applyProtection="1">
      <alignment horizontal="center"/>
      <protection hidden="1"/>
    </xf>
    <xf numFmtId="168" fontId="0" fillId="0" borderId="0" xfId="3" applyNumberFormat="1" applyFont="1" applyFill="1" applyBorder="1" applyAlignment="1" applyProtection="1">
      <alignment horizontal="center"/>
      <protection hidden="1"/>
    </xf>
    <xf numFmtId="168" fontId="0" fillId="0" borderId="38" xfId="3" applyNumberFormat="1" applyFont="1" applyFill="1" applyBorder="1" applyAlignment="1" applyProtection="1">
      <alignment horizontal="center"/>
      <protection hidden="1"/>
    </xf>
    <xf numFmtId="168" fontId="33" fillId="0" borderId="20" xfId="3" applyNumberFormat="1" applyFont="1" applyFill="1" applyBorder="1" applyAlignment="1" applyProtection="1">
      <alignment horizontal="center"/>
      <protection hidden="1"/>
    </xf>
    <xf numFmtId="168" fontId="33" fillId="0" borderId="26" xfId="3" applyNumberFormat="1" applyFont="1" applyFill="1" applyBorder="1" applyAlignment="1" applyProtection="1">
      <alignment horizontal="center"/>
      <protection hidden="1"/>
    </xf>
    <xf numFmtId="168" fontId="33" fillId="0" borderId="18" xfId="3" applyNumberFormat="1" applyFont="1" applyFill="1" applyBorder="1" applyAlignment="1" applyProtection="1">
      <alignment horizontal="center"/>
      <protection hidden="1"/>
    </xf>
    <xf numFmtId="168" fontId="33" fillId="0" borderId="0" xfId="3" applyNumberFormat="1" applyFont="1" applyFill="1" applyBorder="1" applyAlignment="1" applyProtection="1">
      <alignment horizontal="center"/>
      <protection hidden="1"/>
    </xf>
    <xf numFmtId="0" fontId="26" fillId="0" borderId="0" xfId="0" applyFont="1" applyAlignment="1" applyProtection="1">
      <alignment horizontal="left" vertical="top" wrapText="1"/>
      <protection hidden="1"/>
    </xf>
    <xf numFmtId="0" fontId="26" fillId="0" borderId="0" xfId="0" applyFont="1" applyProtection="1">
      <protection hidden="1"/>
    </xf>
    <xf numFmtId="0" fontId="0" fillId="0" borderId="38" xfId="0" applyBorder="1" applyProtection="1">
      <protection hidden="1"/>
    </xf>
    <xf numFmtId="0" fontId="33" fillId="5" borderId="34" xfId="0" applyFont="1" applyFill="1" applyBorder="1" applyAlignment="1" applyProtection="1">
      <alignment horizontal="center" vertical="center"/>
      <protection hidden="1"/>
    </xf>
    <xf numFmtId="0" fontId="33" fillId="5" borderId="26" xfId="0" applyFont="1" applyFill="1" applyBorder="1" applyAlignment="1" applyProtection="1">
      <alignment horizontal="center" vertical="center"/>
      <protection hidden="1"/>
    </xf>
    <xf numFmtId="0" fontId="10" fillId="3" borderId="0" xfId="0" applyFont="1" applyFill="1" applyAlignment="1" applyProtection="1">
      <alignment horizontal="left" vertical="top" wrapText="1"/>
      <protection hidden="1"/>
    </xf>
    <xf numFmtId="0" fontId="0" fillId="3" borderId="38" xfId="0" applyFill="1" applyBorder="1" applyAlignment="1" applyProtection="1">
      <alignment horizontal="left" vertical="top" wrapText="1"/>
      <protection hidden="1"/>
    </xf>
    <xf numFmtId="1" fontId="33" fillId="0" borderId="35" xfId="0" applyNumberFormat="1" applyFont="1" applyBorder="1" applyAlignment="1" applyProtection="1">
      <alignment horizontal="center"/>
      <protection hidden="1"/>
    </xf>
    <xf numFmtId="1" fontId="0" fillId="0" borderId="29" xfId="0" applyNumberFormat="1" applyBorder="1" applyAlignment="1" applyProtection="1">
      <alignment horizontal="right"/>
      <protection hidden="1"/>
    </xf>
    <xf numFmtId="0" fontId="0" fillId="0" borderId="39" xfId="0" applyBorder="1" applyProtection="1">
      <protection hidden="1"/>
    </xf>
    <xf numFmtId="49" fontId="0" fillId="0" borderId="35" xfId="0" applyNumberFormat="1" applyBorder="1" applyAlignment="1" applyProtection="1">
      <alignment horizontal="center" vertical="center"/>
      <protection hidden="1"/>
    </xf>
    <xf numFmtId="49" fontId="33" fillId="0" borderId="29" xfId="0" applyNumberFormat="1" applyFont="1" applyBorder="1" applyAlignment="1" applyProtection="1">
      <alignment horizontal="center" vertical="center"/>
      <protection hidden="1"/>
    </xf>
    <xf numFmtId="0" fontId="0" fillId="0" borderId="38" xfId="0" applyBorder="1" applyAlignment="1" applyProtection="1">
      <alignment horizontal="left" vertical="top" wrapText="1"/>
      <protection hidden="1"/>
    </xf>
    <xf numFmtId="0" fontId="33" fillId="5" borderId="21" xfId="0" applyFont="1" applyFill="1" applyBorder="1" applyAlignment="1" applyProtection="1">
      <alignment horizontal="center" vertical="center" wrapText="1"/>
      <protection hidden="1"/>
    </xf>
    <xf numFmtId="0" fontId="33" fillId="5" borderId="26" xfId="0" applyFont="1" applyFill="1" applyBorder="1" applyAlignment="1" applyProtection="1">
      <alignment horizontal="center" vertical="center" wrapText="1"/>
      <protection hidden="1"/>
    </xf>
    <xf numFmtId="168" fontId="33" fillId="0" borderId="1" xfId="0" applyNumberFormat="1" applyFont="1" applyBorder="1" applyAlignment="1" applyProtection="1">
      <alignment horizontal="center"/>
      <protection hidden="1"/>
    </xf>
    <xf numFmtId="168" fontId="33" fillId="0" borderId="28" xfId="0" applyNumberFormat="1" applyFont="1" applyBorder="1" applyAlignment="1" applyProtection="1">
      <alignment horizontal="center"/>
      <protection hidden="1"/>
    </xf>
    <xf numFmtId="0" fontId="1" fillId="0" borderId="13" xfId="0" applyFont="1" applyBorder="1" applyAlignment="1" applyProtection="1">
      <alignment horizontal="right"/>
      <protection hidden="1"/>
    </xf>
    <xf numFmtId="168" fontId="33" fillId="2" borderId="1" xfId="0" applyNumberFormat="1" applyFont="1" applyFill="1" applyBorder="1" applyAlignment="1" applyProtection="1">
      <alignment horizontal="center"/>
      <protection hidden="1"/>
    </xf>
    <xf numFmtId="168" fontId="33" fillId="0" borderId="24" xfId="0" applyNumberFormat="1" applyFont="1" applyBorder="1" applyAlignment="1" applyProtection="1">
      <alignment horizontal="center"/>
      <protection hidden="1"/>
    </xf>
    <xf numFmtId="168" fontId="33" fillId="0" borderId="29" xfId="0" applyNumberFormat="1" applyFont="1" applyBorder="1" applyAlignment="1" applyProtection="1">
      <alignment horizontal="center"/>
      <protection hidden="1"/>
    </xf>
    <xf numFmtId="166" fontId="33" fillId="0" borderId="26" xfId="0" applyNumberFormat="1" applyFont="1" applyBorder="1" applyAlignment="1" applyProtection="1">
      <alignment horizontal="center" vertical="center" wrapText="1"/>
      <protection hidden="1"/>
    </xf>
    <xf numFmtId="166" fontId="33" fillId="0" borderId="28" xfId="0" applyNumberFormat="1" applyFont="1" applyBorder="1" applyAlignment="1" applyProtection="1">
      <alignment horizontal="center" vertical="center" wrapText="1"/>
      <protection hidden="1"/>
    </xf>
    <xf numFmtId="166" fontId="33" fillId="0" borderId="29" xfId="0" applyNumberFormat="1" applyFont="1" applyBorder="1" applyAlignment="1" applyProtection="1">
      <alignment horizontal="center" vertical="center" wrapText="1"/>
      <protection hidden="1"/>
    </xf>
    <xf numFmtId="0" fontId="55" fillId="0" borderId="0" xfId="0" applyFont="1" applyAlignment="1" applyProtection="1">
      <alignment horizontal="left" vertical="top" wrapText="1"/>
      <protection hidden="1"/>
    </xf>
    <xf numFmtId="0" fontId="1" fillId="0" borderId="15" xfId="0" applyFont="1" applyBorder="1" applyAlignment="1" applyProtection="1">
      <alignment horizontal="left" vertical="top" wrapText="1"/>
      <protection hidden="1"/>
    </xf>
    <xf numFmtId="49" fontId="33" fillId="0" borderId="1" xfId="0" applyNumberFormat="1" applyFont="1" applyBorder="1" applyAlignment="1" applyProtection="1">
      <alignment horizontal="center" vertical="center" wrapText="1"/>
      <protection hidden="1"/>
    </xf>
    <xf numFmtId="0" fontId="0" fillId="0" borderId="0" xfId="0" applyAlignment="1" applyProtection="1">
      <alignment horizontal="left" vertical="center"/>
      <protection hidden="1"/>
    </xf>
    <xf numFmtId="0" fontId="33" fillId="5" borderId="6" xfId="0" applyFont="1" applyFill="1" applyBorder="1" applyProtection="1">
      <protection hidden="1"/>
    </xf>
    <xf numFmtId="0" fontId="33" fillId="5" borderId="9" xfId="0" applyFont="1" applyFill="1" applyBorder="1" applyProtection="1">
      <protection hidden="1"/>
    </xf>
    <xf numFmtId="0" fontId="33" fillId="5" borderId="5" xfId="0" applyFont="1" applyFill="1" applyBorder="1" applyProtection="1">
      <protection hidden="1"/>
    </xf>
    <xf numFmtId="0" fontId="52" fillId="2" borderId="6" xfId="0" applyFont="1" applyFill="1" applyBorder="1" applyProtection="1">
      <protection hidden="1"/>
    </xf>
    <xf numFmtId="0" fontId="52" fillId="2" borderId="9" xfId="0" applyFont="1" applyFill="1" applyBorder="1" applyProtection="1">
      <protection hidden="1"/>
    </xf>
    <xf numFmtId="0" fontId="52" fillId="2" borderId="5" xfId="0" applyFont="1" applyFill="1" applyBorder="1" applyProtection="1">
      <protection hidden="1"/>
    </xf>
    <xf numFmtId="0" fontId="3" fillId="0" borderId="6" xfId="0" applyFont="1" applyBorder="1" applyAlignment="1" applyProtection="1">
      <alignment horizontal="left" vertical="top" wrapText="1" indent="2"/>
      <protection hidden="1"/>
    </xf>
    <xf numFmtId="0" fontId="3" fillId="0" borderId="9" xfId="0" applyFont="1" applyBorder="1" applyAlignment="1" applyProtection="1">
      <alignment horizontal="left" vertical="top" wrapText="1" indent="2"/>
      <protection hidden="1"/>
    </xf>
    <xf numFmtId="0" fontId="3" fillId="0" borderId="5" xfId="0" applyFont="1" applyBorder="1" applyAlignment="1" applyProtection="1">
      <alignment horizontal="left" vertical="top" wrapText="1" indent="2"/>
      <protection hidden="1"/>
    </xf>
    <xf numFmtId="5" fontId="33" fillId="0" borderId="1" xfId="0" applyNumberFormat="1" applyFont="1" applyBorder="1" applyProtection="1">
      <protection hidden="1"/>
    </xf>
    <xf numFmtId="0" fontId="1" fillId="0" borderId="6" xfId="0" applyFont="1" applyBorder="1" applyAlignment="1" applyProtection="1">
      <alignment horizontal="left" vertical="top" wrapText="1" indent="2"/>
      <protection hidden="1"/>
    </xf>
    <xf numFmtId="0" fontId="1" fillId="0" borderId="9" xfId="0" applyFont="1" applyBorder="1" applyAlignment="1" applyProtection="1">
      <alignment horizontal="left" vertical="top" wrapText="1" indent="2"/>
      <protection hidden="1"/>
    </xf>
    <xf numFmtId="0" fontId="1" fillId="0" borderId="5" xfId="0" applyFont="1" applyBorder="1" applyAlignment="1" applyProtection="1">
      <alignment horizontal="left" vertical="top" wrapText="1" indent="2"/>
      <protection hidden="1"/>
    </xf>
    <xf numFmtId="0" fontId="19" fillId="0" borderId="6" xfId="0" applyFont="1" applyBorder="1" applyAlignment="1" applyProtection="1">
      <alignment horizontal="left" vertical="top" wrapText="1"/>
      <protection hidden="1"/>
    </xf>
    <xf numFmtId="0" fontId="19" fillId="0" borderId="9" xfId="0" applyFont="1" applyBorder="1" applyAlignment="1" applyProtection="1">
      <alignment horizontal="left" vertical="top" wrapText="1"/>
      <protection hidden="1"/>
    </xf>
    <xf numFmtId="0" fontId="19" fillId="0" borderId="5" xfId="0" applyFont="1" applyBorder="1" applyAlignment="1" applyProtection="1">
      <alignment horizontal="left" vertical="top" wrapText="1"/>
      <protection hidden="1"/>
    </xf>
    <xf numFmtId="169" fontId="3" fillId="0" borderId="1" xfId="0" applyNumberFormat="1" applyFont="1" applyBorder="1" applyProtection="1">
      <protection hidden="1"/>
    </xf>
    <xf numFmtId="169" fontId="33" fillId="0" borderId="1" xfId="0" applyNumberFormat="1" applyFont="1" applyBorder="1" applyProtection="1">
      <protection hidden="1"/>
    </xf>
    <xf numFmtId="0" fontId="33" fillId="2" borderId="1" xfId="0" applyFont="1" applyFill="1" applyBorder="1" applyProtection="1">
      <protection hidden="1"/>
    </xf>
    <xf numFmtId="169" fontId="0" fillId="0" borderId="1" xfId="0" applyNumberFormat="1" applyBorder="1" applyProtection="1">
      <protection hidden="1"/>
    </xf>
    <xf numFmtId="169" fontId="0" fillId="0" borderId="5" xfId="0" applyNumberFormat="1" applyBorder="1" applyProtection="1">
      <protection hidden="1"/>
    </xf>
    <xf numFmtId="0" fontId="3" fillId="0" borderId="6" xfId="0" applyFont="1" applyBorder="1" applyAlignment="1" applyProtection="1">
      <alignment horizontal="left" vertical="top" wrapText="1"/>
      <protection hidden="1"/>
    </xf>
    <xf numFmtId="0" fontId="3" fillId="0" borderId="9" xfId="0" applyFont="1" applyBorder="1" applyAlignment="1" applyProtection="1">
      <alignment horizontal="left" vertical="top" wrapText="1"/>
      <protection hidden="1"/>
    </xf>
    <xf numFmtId="0" fontId="3" fillId="0" borderId="5" xfId="0" applyFont="1" applyBorder="1" applyAlignment="1" applyProtection="1">
      <alignment horizontal="left" vertical="top" wrapText="1"/>
      <protection hidden="1"/>
    </xf>
    <xf numFmtId="0" fontId="1" fillId="0" borderId="6" xfId="0" applyFont="1" applyBorder="1" applyAlignment="1" applyProtection="1">
      <alignment horizontal="left" vertical="top" wrapText="1"/>
      <protection hidden="1"/>
    </xf>
    <xf numFmtId="0" fontId="57" fillId="0" borderId="0" xfId="0" applyFont="1" applyAlignment="1" applyProtection="1">
      <alignment horizontal="left" vertical="top" wrapText="1"/>
      <protection hidden="1"/>
    </xf>
    <xf numFmtId="0" fontId="55" fillId="0" borderId="0" xfId="0" applyFont="1" applyAlignment="1" applyProtection="1">
      <alignment horizontal="left" vertical="top" wrapText="1"/>
      <protection hidden="1"/>
    </xf>
    <xf numFmtId="0" fontId="18" fillId="2" borderId="6" xfId="0" applyFont="1" applyFill="1" applyBorder="1" applyProtection="1">
      <protection hidden="1"/>
    </xf>
    <xf numFmtId="0" fontId="18" fillId="2" borderId="5" xfId="0" applyFont="1" applyFill="1" applyBorder="1" applyProtection="1">
      <protection hidden="1"/>
    </xf>
    <xf numFmtId="0" fontId="6" fillId="0" borderId="1" xfId="0" applyFont="1" applyBorder="1" applyAlignment="1" applyProtection="1">
      <alignment vertical="top"/>
      <protection hidden="1"/>
    </xf>
    <xf numFmtId="0" fontId="18" fillId="0" borderId="5" xfId="0" applyFont="1" applyBorder="1" applyAlignment="1" applyProtection="1">
      <alignment vertical="top" wrapText="1"/>
      <protection hidden="1"/>
    </xf>
    <xf numFmtId="0" fontId="44" fillId="0" borderId="1" xfId="0" applyFont="1" applyBorder="1" applyAlignment="1" applyProtection="1">
      <alignment horizontal="center" vertical="center"/>
      <protection hidden="1"/>
    </xf>
    <xf numFmtId="170" fontId="44" fillId="0" borderId="1" xfId="5" applyNumberFormat="1" applyFont="1" applyBorder="1" applyAlignment="1" applyProtection="1">
      <alignment horizontal="center" vertical="center"/>
      <protection hidden="1"/>
    </xf>
    <xf numFmtId="171" fontId="44" fillId="0" borderId="1" xfId="3" applyNumberFormat="1" applyFont="1" applyBorder="1" applyAlignment="1" applyProtection="1">
      <alignment horizontal="center" vertical="center"/>
      <protection hidden="1"/>
    </xf>
    <xf numFmtId="0" fontId="6" fillId="0" borderId="1" xfId="0" applyFont="1" applyBorder="1" applyAlignment="1" applyProtection="1">
      <alignment vertical="center"/>
      <protection hidden="1"/>
    </xf>
    <xf numFmtId="0" fontId="18" fillId="0" borderId="5" xfId="0" applyFont="1" applyBorder="1" applyAlignment="1" applyProtection="1">
      <alignment vertical="center" wrapText="1"/>
      <protection hidden="1"/>
    </xf>
    <xf numFmtId="0" fontId="1" fillId="0" borderId="0" xfId="6" applyAlignment="1" applyProtection="1">
      <alignment horizontal="left" vertical="top" wrapText="1"/>
      <protection hidden="1"/>
    </xf>
    <xf numFmtId="0" fontId="3" fillId="0" borderId="0" xfId="6" applyFont="1" applyAlignment="1" applyProtection="1">
      <alignment horizontal="left" vertical="top" wrapText="1"/>
      <protection hidden="1"/>
    </xf>
    <xf numFmtId="0" fontId="55" fillId="0" borderId="0" xfId="6" applyFont="1" applyAlignment="1" applyProtection="1">
      <alignment horizontal="left" vertical="top" wrapText="1"/>
      <protection hidden="1"/>
    </xf>
    <xf numFmtId="0" fontId="18" fillId="2" borderId="4" xfId="0" applyFont="1" applyFill="1" applyBorder="1" applyProtection="1">
      <protection hidden="1"/>
    </xf>
    <xf numFmtId="0" fontId="18" fillId="2" borderId="8" xfId="0" applyFont="1" applyFill="1" applyBorder="1" applyProtection="1">
      <protection hidden="1"/>
    </xf>
    <xf numFmtId="0" fontId="44" fillId="5" borderId="12" xfId="0" applyFont="1" applyFill="1" applyBorder="1" applyAlignment="1" applyProtection="1">
      <alignment horizontal="center" wrapText="1"/>
      <protection hidden="1"/>
    </xf>
    <xf numFmtId="0" fontId="6" fillId="0" borderId="1" xfId="6" applyFont="1" applyBorder="1" applyAlignment="1" applyProtection="1">
      <alignment vertical="top"/>
      <protection hidden="1"/>
    </xf>
    <xf numFmtId="0" fontId="18" fillId="0" borderId="5" xfId="6" applyFont="1" applyBorder="1" applyAlignment="1" applyProtection="1">
      <alignment vertical="top" wrapText="1"/>
      <protection hidden="1"/>
    </xf>
    <xf numFmtId="172" fontId="44" fillId="0" borderId="1" xfId="3" applyNumberFormat="1" applyFont="1" applyBorder="1" applyAlignment="1" applyProtection="1">
      <alignment horizontal="center" vertical="center"/>
      <protection hidden="1"/>
    </xf>
    <xf numFmtId="0" fontId="6" fillId="0" borderId="0" xfId="6" applyFont="1" applyAlignment="1" applyProtection="1">
      <alignment vertical="top"/>
      <protection hidden="1"/>
    </xf>
    <xf numFmtId="0" fontId="18" fillId="0" borderId="0" xfId="6" applyFont="1" applyAlignment="1" applyProtection="1">
      <alignment vertical="top" wrapText="1"/>
      <protection hidden="1"/>
    </xf>
    <xf numFmtId="172" fontId="44" fillId="0" borderId="0" xfId="3" applyNumberFormat="1" applyFont="1" applyBorder="1" applyAlignment="1" applyProtection="1">
      <alignment horizontal="center" vertical="center"/>
      <protection hidden="1"/>
    </xf>
    <xf numFmtId="0" fontId="15" fillId="0" borderId="0" xfId="6" applyFont="1" applyAlignment="1" applyProtection="1">
      <alignment wrapText="1"/>
      <protection hidden="1"/>
    </xf>
    <xf numFmtId="0" fontId="1" fillId="0" borderId="0" xfId="6" applyAlignment="1" applyProtection="1">
      <alignment wrapText="1"/>
      <protection hidden="1"/>
    </xf>
    <xf numFmtId="0" fontId="10" fillId="0" borderId="0" xfId="6" applyFont="1" applyAlignment="1" applyProtection="1">
      <alignment wrapText="1"/>
      <protection hidden="1"/>
    </xf>
    <xf numFmtId="0" fontId="1" fillId="0" borderId="0" xfId="6" applyAlignment="1" applyProtection="1">
      <alignment wrapText="1"/>
      <protection hidden="1"/>
    </xf>
    <xf numFmtId="0" fontId="15" fillId="0" borderId="0" xfId="6" applyFont="1" applyAlignment="1" applyProtection="1">
      <alignment horizontal="left" wrapText="1"/>
      <protection hidden="1"/>
    </xf>
    <xf numFmtId="0" fontId="10" fillId="0" borderId="0" xfId="6" applyFont="1" applyAlignment="1" applyProtection="1">
      <alignment horizontal="left" wrapText="1"/>
      <protection hidden="1"/>
    </xf>
    <xf numFmtId="0" fontId="1" fillId="0" borderId="0" xfId="6" applyAlignment="1" applyProtection="1">
      <alignment horizontal="left" wrapText="1"/>
      <protection hidden="1"/>
    </xf>
    <xf numFmtId="0" fontId="33" fillId="0" borderId="0" xfId="6" applyFont="1" applyAlignment="1" applyProtection="1">
      <alignment horizontal="left" vertical="top" wrapText="1"/>
      <protection hidden="1"/>
    </xf>
    <xf numFmtId="0" fontId="37" fillId="0" borderId="0" xfId="6" applyFont="1" applyAlignment="1" applyProtection="1">
      <alignment horizontal="left" vertical="top" wrapText="1"/>
      <protection hidden="1"/>
    </xf>
    <xf numFmtId="3" fontId="33" fillId="0" borderId="1" xfId="0" applyNumberFormat="1" applyFont="1" applyBorder="1" applyAlignment="1" applyProtection="1">
      <alignment horizontal="center" vertical="center" wrapText="1"/>
      <protection hidden="1"/>
    </xf>
    <xf numFmtId="0" fontId="33" fillId="0" borderId="0" xfId="0" applyFont="1" applyAlignment="1" applyProtection="1">
      <alignment horizontal="left" vertical="center" wrapText="1"/>
      <protection hidden="1"/>
    </xf>
    <xf numFmtId="0" fontId="1" fillId="0" borderId="0" xfId="6" applyAlignment="1" applyProtection="1">
      <alignment horizontal="left" vertical="center" wrapText="1"/>
      <protection hidden="1"/>
    </xf>
    <xf numFmtId="0" fontId="3" fillId="0" borderId="0" xfId="6" applyFont="1" applyAlignment="1" applyProtection="1">
      <alignment horizontal="left" vertical="center" wrapText="1"/>
      <protection hidden="1"/>
    </xf>
    <xf numFmtId="0" fontId="34" fillId="5" borderId="1" xfId="0" applyFont="1" applyFill="1" applyBorder="1" applyAlignment="1" applyProtection="1">
      <alignment horizontal="center" vertical="center" wrapText="1"/>
      <protection hidden="1"/>
    </xf>
    <xf numFmtId="0" fontId="33" fillId="5" borderId="1" xfId="0" applyFont="1" applyFill="1" applyBorder="1" applyAlignment="1" applyProtection="1">
      <alignment horizontal="center" wrapText="1"/>
      <protection hidden="1"/>
    </xf>
    <xf numFmtId="0" fontId="3" fillId="0" borderId="1" xfId="6" applyFont="1" applyBorder="1" applyAlignment="1" applyProtection="1">
      <alignment horizontal="left" vertical="center" wrapText="1"/>
      <protection hidden="1"/>
    </xf>
    <xf numFmtId="0" fontId="18" fillId="0" borderId="12" xfId="6" applyFont="1" applyBorder="1" applyAlignment="1" applyProtection="1">
      <alignment vertical="center" wrapText="1"/>
      <protection hidden="1"/>
    </xf>
    <xf numFmtId="10" fontId="33" fillId="0" borderId="1" xfId="0" applyNumberFormat="1" applyFont="1" applyBorder="1" applyAlignment="1" applyProtection="1">
      <alignment horizontal="center" vertical="center" wrapText="1"/>
      <protection hidden="1"/>
    </xf>
    <xf numFmtId="168" fontId="33" fillId="0" borderId="1" xfId="0" applyNumberFormat="1" applyFont="1" applyBorder="1" applyAlignment="1" applyProtection="1">
      <alignment horizontal="center" vertical="center" wrapText="1"/>
      <protection hidden="1"/>
    </xf>
    <xf numFmtId="0" fontId="18" fillId="0" borderId="1" xfId="6" applyFont="1" applyBorder="1" applyAlignment="1" applyProtection="1">
      <alignment vertical="center" wrapText="1"/>
      <protection hidden="1"/>
    </xf>
    <xf numFmtId="168" fontId="33" fillId="0" borderId="1" xfId="0" applyNumberFormat="1" applyFont="1" applyBorder="1" applyAlignment="1" applyProtection="1">
      <alignment horizontal="center" vertical="center"/>
      <protection hidden="1"/>
    </xf>
    <xf numFmtId="0" fontId="1" fillId="0" borderId="1" xfId="6" applyBorder="1" applyAlignment="1" applyProtection="1">
      <alignment vertical="center"/>
      <protection hidden="1"/>
    </xf>
    <xf numFmtId="168" fontId="0" fillId="0" borderId="0" xfId="0" applyNumberFormat="1" applyAlignment="1" applyProtection="1">
      <alignment horizontal="center" vertical="center"/>
      <protection hidden="1"/>
    </xf>
    <xf numFmtId="168" fontId="0" fillId="0" borderId="5" xfId="0" applyNumberFormat="1" applyBorder="1" applyAlignment="1" applyProtection="1">
      <alignment horizontal="center" vertical="center"/>
      <protection hidden="1"/>
    </xf>
    <xf numFmtId="168" fontId="0" fillId="0" borderId="1" xfId="0" applyNumberFormat="1" applyBorder="1" applyAlignment="1" applyProtection="1">
      <alignment horizontal="center" vertical="center"/>
      <protection hidden="1"/>
    </xf>
    <xf numFmtId="0" fontId="34" fillId="0" borderId="0" xfId="0" applyFont="1" applyAlignment="1" applyProtection="1">
      <alignment horizontal="left" vertical="top" wrapText="1"/>
      <protection hidden="1"/>
    </xf>
    <xf numFmtId="0" fontId="37" fillId="0" borderId="0" xfId="0" applyFont="1" applyAlignment="1" applyProtection="1">
      <alignment horizontal="left" vertical="top" wrapText="1"/>
      <protection hidden="1"/>
    </xf>
    <xf numFmtId="0" fontId="3" fillId="0" borderId="0" xfId="6" applyFont="1" applyAlignment="1" applyProtection="1">
      <alignment horizontal="left" vertical="top" wrapText="1"/>
      <protection hidden="1"/>
    </xf>
    <xf numFmtId="0" fontId="1" fillId="0" borderId="0" xfId="6" applyAlignment="1" applyProtection="1">
      <alignment horizontal="left" vertical="top" wrapText="1"/>
      <protection hidden="1"/>
    </xf>
    <xf numFmtId="0" fontId="1" fillId="0" borderId="1" xfId="6" applyBorder="1" applyAlignment="1" applyProtection="1">
      <alignment horizontal="center" vertical="center"/>
      <protection hidden="1"/>
    </xf>
    <xf numFmtId="0" fontId="1" fillId="0" borderId="0" xfId="6" applyAlignment="1" applyProtection="1">
      <alignment horizontal="left" vertical="top" indent="1"/>
      <protection hidden="1"/>
    </xf>
    <xf numFmtId="49" fontId="4" fillId="0" borderId="0" xfId="0" applyNumberFormat="1" applyFont="1" applyAlignment="1" applyProtection="1">
      <alignment horizontal="center" vertical="center"/>
      <protection hidden="1"/>
    </xf>
    <xf numFmtId="1" fontId="33" fillId="0" borderId="42" xfId="0" applyNumberFormat="1" applyFont="1" applyBorder="1" applyAlignment="1" applyProtection="1">
      <alignment horizontal="center"/>
      <protection hidden="1"/>
    </xf>
    <xf numFmtId="0" fontId="33" fillId="0" borderId="0" xfId="0" applyFont="1" applyAlignment="1" applyProtection="1">
      <alignment horizontal="center"/>
      <protection hidden="1"/>
    </xf>
    <xf numFmtId="168" fontId="33" fillId="0" borderId="42" xfId="0" applyNumberFormat="1" applyFont="1" applyBorder="1" applyAlignment="1" applyProtection="1">
      <alignment horizontal="center"/>
      <protection hidden="1"/>
    </xf>
    <xf numFmtId="172" fontId="33" fillId="0" borderId="0" xfId="0" applyNumberFormat="1" applyFont="1" applyAlignment="1" applyProtection="1">
      <alignment horizontal="center"/>
      <protection hidden="1"/>
    </xf>
    <xf numFmtId="168" fontId="0" fillId="0" borderId="0" xfId="0" applyNumberFormat="1" applyAlignment="1" applyProtection="1">
      <alignment horizontal="right"/>
      <protection hidden="1"/>
    </xf>
    <xf numFmtId="0" fontId="1" fillId="0" borderId="0" xfId="6" applyAlignment="1" applyProtection="1">
      <alignment horizontal="left" indent="1"/>
      <protection hidden="1"/>
    </xf>
    <xf numFmtId="0" fontId="4" fillId="0" borderId="0" xfId="0" applyFont="1" applyAlignment="1" applyProtection="1">
      <alignment horizontal="center"/>
      <protection hidden="1"/>
    </xf>
    <xf numFmtId="49" fontId="33" fillId="0" borderId="12" xfId="0" applyNumberFormat="1" applyFont="1" applyBorder="1" applyAlignment="1" applyProtection="1">
      <alignment horizontal="center" vertical="center"/>
      <protection hidden="1"/>
    </xf>
    <xf numFmtId="0" fontId="1" fillId="0" borderId="0" xfId="6" applyAlignment="1" applyProtection="1">
      <alignment horizontal="left" vertical="top" wrapText="1" indent="1"/>
      <protection hidden="1"/>
    </xf>
    <xf numFmtId="0" fontId="1" fillId="0" borderId="14" xfId="6" applyBorder="1" applyAlignment="1" applyProtection="1">
      <alignment horizontal="center" vertical="center"/>
      <protection hidden="1"/>
    </xf>
    <xf numFmtId="0" fontId="33" fillId="0" borderId="0" xfId="0" applyFont="1" applyAlignment="1" applyProtection="1">
      <alignment horizontal="left" vertical="top" wrapText="1" indent="2"/>
      <protection hidden="1"/>
    </xf>
    <xf numFmtId="0" fontId="34" fillId="0" borderId="0" xfId="0" applyFont="1" applyAlignment="1" applyProtection="1">
      <alignment vertical="top"/>
      <protection hidden="1"/>
    </xf>
    <xf numFmtId="0" fontId="7" fillId="0" borderId="0" xfId="0" applyFont="1" applyAlignment="1" applyProtection="1">
      <alignment vertical="top"/>
      <protection hidden="1"/>
    </xf>
    <xf numFmtId="0" fontId="0" fillId="0" borderId="7" xfId="0" applyBorder="1" applyAlignment="1" applyProtection="1">
      <alignment horizontal="left" vertical="top"/>
      <protection hidden="1"/>
    </xf>
    <xf numFmtId="0" fontId="3" fillId="0" borderId="0" xfId="6" applyFont="1" applyAlignment="1" applyProtection="1">
      <alignment horizontal="left" vertical="top"/>
      <protection hidden="1"/>
    </xf>
    <xf numFmtId="0" fontId="1" fillId="0" borderId="0" xfId="6" applyAlignment="1" applyProtection="1">
      <alignment horizontal="left" vertical="top"/>
      <protection hidden="1"/>
    </xf>
    <xf numFmtId="0" fontId="1" fillId="0" borderId="0" xfId="6" applyAlignment="1" applyProtection="1">
      <alignment horizontal="left" vertical="top" indent="1"/>
      <protection hidden="1"/>
    </xf>
    <xf numFmtId="0" fontId="1" fillId="0" borderId="0" xfId="6" applyAlignment="1" applyProtection="1">
      <alignment horizontal="left" indent="1"/>
      <protection hidden="1"/>
    </xf>
    <xf numFmtId="167" fontId="51" fillId="0" borderId="0" xfId="6" applyNumberFormat="1" applyFont="1" applyAlignment="1" applyProtection="1">
      <alignment horizontal="center"/>
      <protection hidden="1"/>
    </xf>
    <xf numFmtId="167" fontId="1" fillId="0" borderId="0" xfId="6" applyNumberFormat="1" applyAlignment="1" applyProtection="1">
      <alignment horizontal="right"/>
      <protection hidden="1"/>
    </xf>
    <xf numFmtId="0" fontId="1" fillId="0" borderId="0" xfId="6" quotePrefix="1" applyAlignment="1" applyProtection="1">
      <alignment horizontal="center"/>
      <protection hidden="1"/>
    </xf>
    <xf numFmtId="0" fontId="1" fillId="0" borderId="0" xfId="6" applyAlignment="1" applyProtection="1">
      <alignment horizontal="center"/>
      <protection hidden="1"/>
    </xf>
    <xf numFmtId="0" fontId="1" fillId="0" borderId="0" xfId="6" applyProtection="1">
      <protection hidden="1"/>
    </xf>
    <xf numFmtId="0" fontId="1" fillId="0" borderId="0" xfId="6" applyAlignment="1" applyProtection="1">
      <alignment vertical="top"/>
      <protection hidden="1"/>
    </xf>
    <xf numFmtId="0" fontId="1" fillId="0" borderId="7" xfId="6" applyBorder="1" applyAlignment="1" applyProtection="1">
      <alignment horizontal="left" vertical="top" wrapText="1"/>
      <protection hidden="1"/>
    </xf>
    <xf numFmtId="0" fontId="1" fillId="0" borderId="0" xfId="6" applyAlignment="1" applyProtection="1">
      <alignment vertical="top" wrapText="1"/>
      <protection hidden="1"/>
    </xf>
    <xf numFmtId="0" fontId="1" fillId="0" borderId="0" xfId="6" applyAlignment="1" applyProtection="1">
      <alignment horizontal="left" vertical="top"/>
      <protection hidden="1"/>
    </xf>
    <xf numFmtId="0" fontId="57" fillId="0" borderId="0" xfId="6" applyFont="1" applyAlignment="1" applyProtection="1">
      <alignment vertical="top"/>
      <protection hidden="1"/>
    </xf>
    <xf numFmtId="167" fontId="1" fillId="0" borderId="0" xfId="6" applyNumberFormat="1" applyProtection="1">
      <protection hidden="1"/>
    </xf>
    <xf numFmtId="0" fontId="1" fillId="0" borderId="0" xfId="6" applyProtection="1">
      <protection hidden="1"/>
    </xf>
    <xf numFmtId="167" fontId="1" fillId="0" borderId="0" xfId="6" applyNumberFormat="1" applyAlignment="1" applyProtection="1">
      <alignment horizontal="center" vertical="center"/>
      <protection hidden="1"/>
    </xf>
    <xf numFmtId="0" fontId="1" fillId="0" borderId="0" xfId="6" applyAlignment="1" applyProtection="1">
      <alignment horizontal="center" vertical="center"/>
      <protection hidden="1"/>
    </xf>
    <xf numFmtId="0" fontId="1" fillId="3" borderId="0" xfId="6" applyFill="1" applyProtection="1">
      <protection hidden="1"/>
    </xf>
    <xf numFmtId="0" fontId="10" fillId="0" borderId="0" xfId="6" applyFont="1" applyAlignment="1" applyProtection="1">
      <alignment horizontal="left"/>
      <protection hidden="1"/>
    </xf>
    <xf numFmtId="49" fontId="1" fillId="0" borderId="0" xfId="6" applyNumberFormat="1" applyAlignment="1" applyProtection="1">
      <alignment horizontal="center" vertical="center"/>
      <protection hidden="1"/>
    </xf>
    <xf numFmtId="0" fontId="10" fillId="0" borderId="0" xfId="6" applyFont="1" applyAlignment="1" applyProtection="1">
      <alignment horizontal="left" indent="1"/>
      <protection hidden="1"/>
    </xf>
    <xf numFmtId="0" fontId="1" fillId="0" borderId="0" xfId="6" applyAlignment="1" applyProtection="1">
      <alignment horizontal="left" indent="2"/>
      <protection hidden="1"/>
    </xf>
    <xf numFmtId="0" fontId="51" fillId="0" borderId="0" xfId="6" applyFont="1" applyAlignment="1" applyProtection="1">
      <alignment horizontal="center"/>
      <protection hidden="1"/>
    </xf>
    <xf numFmtId="0" fontId="1" fillId="0" borderId="0" xfId="0" applyFont="1" applyAlignment="1" applyProtection="1">
      <alignment horizontal="left" vertical="top"/>
      <protection hidden="1"/>
    </xf>
    <xf numFmtId="167" fontId="51" fillId="0" borderId="0" xfId="0" applyNumberFormat="1" applyFont="1" applyAlignment="1" applyProtection="1">
      <alignment horizontal="center" vertical="center"/>
      <protection hidden="1"/>
    </xf>
    <xf numFmtId="2" fontId="1" fillId="0" borderId="0" xfId="0" applyNumberFormat="1" applyFont="1" applyAlignment="1" applyProtection="1">
      <alignment horizontal="center" vertical="center"/>
      <protection hidden="1"/>
    </xf>
    <xf numFmtId="0" fontId="4" fillId="0" borderId="0" xfId="0" applyFont="1" applyAlignment="1" applyProtection="1">
      <alignment vertical="top"/>
      <protection hidden="1"/>
    </xf>
    <xf numFmtId="0" fontId="33" fillId="0" borderId="0" xfId="0" applyFont="1" applyAlignment="1" applyProtection="1">
      <alignment horizontal="left" vertical="top"/>
      <protection hidden="1"/>
    </xf>
    <xf numFmtId="0" fontId="1" fillId="0" borderId="0" xfId="0" applyFont="1" applyAlignment="1" applyProtection="1">
      <alignment horizontal="left" vertical="top" indent="1"/>
      <protection hidden="1"/>
    </xf>
    <xf numFmtId="0" fontId="0" fillId="0" borderId="4" xfId="0" applyBorder="1" applyAlignment="1" applyProtection="1">
      <alignment horizontal="left" vertical="top" wrapText="1"/>
      <protection hidden="1"/>
    </xf>
    <xf numFmtId="0" fontId="1" fillId="0" borderId="2" xfId="0" applyFont="1" applyBorder="1" applyAlignment="1" applyProtection="1">
      <alignment horizontal="left" wrapText="1"/>
      <protection hidden="1"/>
    </xf>
    <xf numFmtId="0" fontId="44" fillId="5" borderId="1" xfId="0" applyFont="1" applyFill="1" applyBorder="1" applyAlignment="1" applyProtection="1">
      <alignment horizontal="center"/>
      <protection hidden="1"/>
    </xf>
    <xf numFmtId="0" fontId="0" fillId="2" borderId="1" xfId="0" applyFill="1" applyBorder="1" applyAlignment="1" applyProtection="1">
      <alignment horizontal="center"/>
      <protection hidden="1"/>
    </xf>
    <xf numFmtId="0" fontId="1" fillId="0" borderId="0" xfId="0" applyFont="1" applyAlignment="1" applyProtection="1">
      <alignment vertical="center" wrapText="1"/>
      <protection hidden="1"/>
    </xf>
    <xf numFmtId="0" fontId="4" fillId="0" borderId="0" xfId="0" applyFont="1" applyAlignment="1" applyProtection="1">
      <alignment vertical="center" wrapText="1"/>
      <protection hidden="1"/>
    </xf>
    <xf numFmtId="0" fontId="1" fillId="0" borderId="0" xfId="0" applyFont="1" applyAlignment="1" applyProtection="1">
      <alignment horizontal="left"/>
      <protection hidden="1"/>
    </xf>
    <xf numFmtId="0" fontId="35" fillId="5" borderId="0" xfId="0" applyFont="1" applyFill="1" applyAlignment="1" applyProtection="1">
      <alignment horizontal="center" vertical="center"/>
      <protection hidden="1"/>
    </xf>
    <xf numFmtId="0" fontId="0" fillId="0" borderId="0" xfId="0" applyAlignment="1" applyProtection="1">
      <alignment vertical="top" wrapText="1"/>
      <protection hidden="1"/>
    </xf>
    <xf numFmtId="0" fontId="0" fillId="2" borderId="6" xfId="0" applyFill="1" applyBorder="1" applyProtection="1">
      <protection hidden="1"/>
    </xf>
    <xf numFmtId="0" fontId="0" fillId="2" borderId="9" xfId="0" applyFill="1" applyBorder="1" applyProtection="1">
      <protection hidden="1"/>
    </xf>
    <xf numFmtId="0" fontId="0" fillId="2" borderId="5" xfId="0" applyFill="1" applyBorder="1" applyProtection="1">
      <protection hidden="1"/>
    </xf>
    <xf numFmtId="0" fontId="0" fillId="0" borderId="9" xfId="0" applyBorder="1" applyAlignment="1" applyProtection="1">
      <alignment horizontal="left" vertical="top" wrapText="1"/>
      <protection hidden="1"/>
    </xf>
    <xf numFmtId="0" fontId="0" fillId="0" borderId="5" xfId="0" applyBorder="1" applyAlignment="1" applyProtection="1">
      <alignment horizontal="left" vertical="top" wrapText="1"/>
      <protection hidden="1"/>
    </xf>
    <xf numFmtId="1" fontId="30" fillId="0" borderId="0" xfId="0" applyNumberFormat="1" applyFont="1" applyProtection="1">
      <protection hidden="1"/>
    </xf>
    <xf numFmtId="0" fontId="33" fillId="0" borderId="0" xfId="0" applyFont="1" applyAlignment="1" applyProtection="1">
      <alignment horizontal="left" vertical="center"/>
      <protection hidden="1"/>
    </xf>
    <xf numFmtId="0" fontId="37" fillId="0" borderId="0" xfId="0" applyFont="1" applyAlignment="1" applyProtection="1">
      <alignment horizontal="left" vertical="center"/>
      <protection hidden="1"/>
    </xf>
    <xf numFmtId="0" fontId="3" fillId="0" borderId="0" xfId="0" applyFont="1" applyAlignment="1" applyProtection="1">
      <alignment vertical="top"/>
      <protection hidden="1"/>
    </xf>
    <xf numFmtId="0" fontId="33" fillId="0" borderId="13" xfId="0" applyFont="1" applyBorder="1" applyAlignment="1" applyProtection="1">
      <alignment vertical="top"/>
      <protection hidden="1"/>
    </xf>
    <xf numFmtId="0" fontId="33" fillId="0" borderId="15" xfId="0" applyFont="1" applyBorder="1" applyAlignment="1" applyProtection="1">
      <alignment vertical="top"/>
      <protection hidden="1"/>
    </xf>
    <xf numFmtId="0" fontId="33" fillId="0" borderId="7" xfId="0" applyFont="1" applyBorder="1" applyAlignment="1" applyProtection="1">
      <alignment vertical="top"/>
      <protection hidden="1"/>
    </xf>
    <xf numFmtId="1" fontId="33" fillId="0" borderId="0" xfId="0" applyNumberFormat="1" applyFont="1" applyAlignment="1" applyProtection="1">
      <alignment horizontal="center" vertical="top"/>
      <protection hidden="1"/>
    </xf>
    <xf numFmtId="0" fontId="33" fillId="0" borderId="0" xfId="0" applyFont="1" applyAlignment="1" applyProtection="1">
      <alignment vertical="top"/>
      <protection hidden="1"/>
    </xf>
    <xf numFmtId="3" fontId="33" fillId="0" borderId="1" xfId="0" applyNumberFormat="1" applyFont="1" applyBorder="1" applyAlignment="1" applyProtection="1">
      <alignment vertical="top"/>
      <protection hidden="1"/>
    </xf>
    <xf numFmtId="0" fontId="30" fillId="0" borderId="0" xfId="0" applyFont="1" applyAlignment="1" applyProtection="1">
      <alignment vertical="top"/>
      <protection hidden="1"/>
    </xf>
    <xf numFmtId="0" fontId="37" fillId="0" borderId="0" xfId="0" applyFont="1" applyAlignment="1" applyProtection="1">
      <alignment vertical="top"/>
      <protection hidden="1"/>
    </xf>
    <xf numFmtId="0" fontId="4" fillId="0" borderId="0" xfId="0" applyFont="1" applyAlignment="1" applyProtection="1">
      <alignment horizontal="right" vertical="top"/>
      <protection hidden="1"/>
    </xf>
    <xf numFmtId="0" fontId="29" fillId="0" borderId="0" xfId="0" applyFont="1" applyAlignment="1" applyProtection="1">
      <alignment vertical="top" wrapText="1"/>
      <protection hidden="1"/>
    </xf>
    <xf numFmtId="0" fontId="8" fillId="0" borderId="0" xfId="0" applyFont="1" applyAlignment="1" applyProtection="1">
      <alignment wrapText="1"/>
      <protection hidden="1"/>
    </xf>
    <xf numFmtId="0" fontId="18" fillId="0" borderId="1" xfId="0" applyFont="1" applyBorder="1" applyAlignment="1" applyProtection="1">
      <alignment vertical="top" wrapText="1"/>
      <protection hidden="1"/>
    </xf>
    <xf numFmtId="0" fontId="18" fillId="0" borderId="1" xfId="0" applyFont="1" applyBorder="1" applyAlignment="1" applyProtection="1">
      <alignment horizontal="center" vertical="top" wrapText="1"/>
      <protection hidden="1"/>
    </xf>
    <xf numFmtId="0" fontId="18" fillId="0" borderId="6" xfId="0" applyFont="1" applyBorder="1" applyAlignment="1" applyProtection="1">
      <alignment horizontal="center" vertical="top" wrapText="1"/>
      <protection hidden="1"/>
    </xf>
    <xf numFmtId="0" fontId="18" fillId="0" borderId="9" xfId="0" applyFont="1" applyBorder="1" applyAlignment="1" applyProtection="1">
      <alignment horizontal="center" vertical="top" wrapText="1"/>
      <protection hidden="1"/>
    </xf>
    <xf numFmtId="0" fontId="18" fillId="0" borderId="5" xfId="0" applyFont="1" applyBorder="1" applyAlignment="1" applyProtection="1">
      <alignment horizontal="center" vertical="top" wrapText="1"/>
      <protection hidden="1"/>
    </xf>
    <xf numFmtId="0" fontId="63" fillId="0" borderId="7" xfId="0" applyFont="1" applyBorder="1" applyAlignment="1" applyProtection="1">
      <alignment horizontal="center" vertical="top" wrapText="1"/>
      <protection hidden="1"/>
    </xf>
    <xf numFmtId="0" fontId="63" fillId="0" borderId="0" xfId="0" applyFont="1" applyAlignment="1" applyProtection="1">
      <alignment horizontal="center" vertical="top" wrapText="1"/>
      <protection hidden="1"/>
    </xf>
    <xf numFmtId="0" fontId="30" fillId="0" borderId="0" xfId="0" applyFont="1" applyAlignment="1" applyProtection="1">
      <alignment horizontal="center" vertical="top" wrapText="1"/>
      <protection hidden="1"/>
    </xf>
    <xf numFmtId="0" fontId="18" fillId="0" borderId="1" xfId="0" applyFont="1" applyBorder="1" applyAlignment="1" applyProtection="1">
      <alignment vertical="top" wrapText="1"/>
      <protection hidden="1"/>
    </xf>
    <xf numFmtId="0" fontId="23" fillId="0" borderId="1" xfId="0" applyFont="1" applyBorder="1" applyAlignment="1" applyProtection="1">
      <alignment vertical="top" wrapText="1"/>
      <protection hidden="1"/>
    </xf>
    <xf numFmtId="0" fontId="5" fillId="0" borderId="0" xfId="0" applyFont="1" applyProtection="1">
      <protection hidden="1"/>
    </xf>
    <xf numFmtId="0" fontId="21" fillId="0" borderId="0" xfId="0" applyFont="1" applyAlignment="1" applyProtection="1">
      <alignment horizontal="left" vertical="top" wrapText="1"/>
      <protection hidden="1"/>
    </xf>
    <xf numFmtId="0" fontId="18" fillId="0" borderId="0" xfId="0" applyFont="1" applyAlignment="1" applyProtection="1">
      <alignment horizontal="left" vertical="top" wrapText="1"/>
      <protection hidden="1"/>
    </xf>
    <xf numFmtId="0" fontId="21" fillId="0" borderId="0" xfId="0" applyFont="1" applyAlignment="1" applyProtection="1">
      <alignment horizontal="left" vertical="top" wrapText="1"/>
      <protection hidden="1"/>
    </xf>
    <xf numFmtId="0" fontId="18" fillId="0" borderId="0" xfId="0" applyFont="1" applyAlignment="1" applyProtection="1">
      <alignment horizontal="left" vertical="top" wrapText="1"/>
      <protection hidden="1"/>
    </xf>
    <xf numFmtId="0" fontId="33" fillId="0" borderId="0" xfId="0" applyFont="1" applyAlignment="1" applyProtection="1">
      <alignment horizontal="center" vertical="center"/>
      <protection hidden="1"/>
    </xf>
    <xf numFmtId="0" fontId="37" fillId="0" borderId="0" xfId="0" applyFont="1" applyAlignment="1" applyProtection="1">
      <alignment horizontal="center" vertical="center"/>
      <protection hidden="1"/>
    </xf>
    <xf numFmtId="0" fontId="3" fillId="0" borderId="2" xfId="0" applyFont="1" applyBorder="1" applyAlignment="1" applyProtection="1">
      <alignment horizontal="center" vertical="center"/>
      <protection hidden="1"/>
    </xf>
    <xf numFmtId="0" fontId="33" fillId="0" borderId="1" xfId="0" applyFont="1" applyBorder="1" applyAlignment="1" applyProtection="1">
      <alignment horizontal="center" vertical="center" wrapText="1"/>
      <protection hidden="1"/>
    </xf>
    <xf numFmtId="49" fontId="3" fillId="0" borderId="1" xfId="0" applyNumberFormat="1" applyFont="1" applyBorder="1" applyAlignment="1" applyProtection="1">
      <alignment horizontal="center"/>
      <protection hidden="1"/>
    </xf>
    <xf numFmtId="0" fontId="37" fillId="0" borderId="0" xfId="0" applyFont="1" applyProtection="1">
      <protection hidden="1"/>
    </xf>
    <xf numFmtId="0" fontId="19" fillId="0" borderId="0" xfId="0" applyFont="1" applyAlignment="1" applyProtection="1">
      <alignment horizontal="left" vertical="top" wrapText="1"/>
      <protection hidden="1"/>
    </xf>
    <xf numFmtId="0" fontId="37" fillId="0" borderId="0" xfId="0" applyFont="1" applyAlignment="1" applyProtection="1">
      <alignment vertical="center" wrapText="1"/>
      <protection hidden="1"/>
    </xf>
    <xf numFmtId="0" fontId="10" fillId="0" borderId="41" xfId="0" applyFont="1" applyBorder="1" applyAlignment="1" applyProtection="1">
      <alignment horizontal="left" vertical="center" wrapText="1"/>
      <protection hidden="1"/>
    </xf>
    <xf numFmtId="0" fontId="42" fillId="0" borderId="20" xfId="0" applyFont="1" applyBorder="1" applyAlignment="1" applyProtection="1">
      <alignment vertical="center" wrapText="1"/>
      <protection hidden="1"/>
    </xf>
    <xf numFmtId="0" fontId="42" fillId="6" borderId="21" xfId="0" applyFont="1" applyFill="1" applyBorder="1" applyAlignment="1" applyProtection="1">
      <alignment horizontal="center" vertical="center" wrapText="1"/>
      <protection hidden="1"/>
    </xf>
    <xf numFmtId="0" fontId="42" fillId="6" borderId="22" xfId="0" applyFont="1" applyFill="1" applyBorder="1" applyAlignment="1" applyProtection="1">
      <alignment horizontal="center" vertical="center" wrapText="1"/>
      <protection hidden="1"/>
    </xf>
    <xf numFmtId="0" fontId="42" fillId="0" borderId="19" xfId="0" applyFont="1" applyBorder="1" applyAlignment="1" applyProtection="1">
      <alignment horizontal="center" vertical="center" wrapText="1"/>
      <protection hidden="1"/>
    </xf>
    <xf numFmtId="0" fontId="42" fillId="7" borderId="19" xfId="0" applyFont="1" applyFill="1" applyBorder="1" applyAlignment="1" applyProtection="1">
      <alignment horizontal="center" vertical="center" wrapText="1"/>
      <protection hidden="1"/>
    </xf>
    <xf numFmtId="0" fontId="30" fillId="0" borderId="0" xfId="0" applyFont="1" applyAlignment="1" applyProtection="1">
      <alignment horizontal="center" wrapText="1"/>
      <protection hidden="1"/>
    </xf>
    <xf numFmtId="0" fontId="40" fillId="0" borderId="18" xfId="0" applyFont="1" applyBorder="1" applyAlignment="1" applyProtection="1">
      <alignment vertical="top" wrapText="1"/>
      <protection hidden="1"/>
    </xf>
    <xf numFmtId="0" fontId="41" fillId="6" borderId="36" xfId="0" applyFont="1" applyFill="1" applyBorder="1" applyAlignment="1" applyProtection="1">
      <alignment vertical="top" wrapText="1"/>
      <protection hidden="1"/>
    </xf>
    <xf numFmtId="0" fontId="41" fillId="6" borderId="37" xfId="0" applyFont="1" applyFill="1" applyBorder="1" applyAlignment="1" applyProtection="1">
      <alignment vertical="top" wrapText="1"/>
      <protection hidden="1"/>
    </xf>
    <xf numFmtId="170" fontId="42" fillId="0" borderId="30" xfId="0" applyNumberFormat="1" applyFont="1" applyBorder="1" applyAlignment="1" applyProtection="1">
      <alignment vertical="top" wrapText="1"/>
      <protection hidden="1"/>
    </xf>
    <xf numFmtId="49" fontId="50" fillId="0" borderId="30" xfId="0" applyNumberFormat="1" applyFont="1" applyBorder="1" applyAlignment="1" applyProtection="1">
      <alignment horizontal="center" vertical="top" wrapText="1"/>
      <protection hidden="1"/>
    </xf>
    <xf numFmtId="0" fontId="40" fillId="7" borderId="18" xfId="0" applyFont="1" applyFill="1" applyBorder="1" applyAlignment="1" applyProtection="1">
      <alignment vertical="top" wrapText="1"/>
      <protection hidden="1"/>
    </xf>
    <xf numFmtId="10" fontId="42" fillId="0" borderId="30" xfId="0" applyNumberFormat="1" applyFont="1" applyBorder="1" applyAlignment="1" applyProtection="1">
      <alignment vertical="top" wrapText="1"/>
      <protection hidden="1"/>
    </xf>
    <xf numFmtId="0" fontId="39" fillId="0" borderId="18" xfId="0" applyFont="1" applyBorder="1" applyAlignment="1" applyProtection="1">
      <alignment vertical="top" wrapText="1"/>
      <protection hidden="1"/>
    </xf>
    <xf numFmtId="0" fontId="42" fillId="0" borderId="23" xfId="0" applyFont="1" applyBorder="1" applyAlignment="1" applyProtection="1">
      <alignment vertical="center"/>
      <protection hidden="1"/>
    </xf>
    <xf numFmtId="10" fontId="42" fillId="6" borderId="24" xfId="5" applyNumberFormat="1" applyFont="1" applyFill="1" applyBorder="1" applyAlignment="1" applyProtection="1">
      <alignment horizontal="center" vertical="center"/>
      <protection hidden="1"/>
    </xf>
    <xf numFmtId="10" fontId="42" fillId="6" borderId="25" xfId="5" applyNumberFormat="1" applyFont="1" applyFill="1" applyBorder="1" applyAlignment="1" applyProtection="1">
      <alignment horizontal="center" vertical="center"/>
      <protection hidden="1"/>
    </xf>
    <xf numFmtId="9" fontId="42" fillId="0" borderId="17" xfId="5" applyFont="1" applyBorder="1" applyAlignment="1" applyProtection="1">
      <alignment horizontal="center" vertical="center"/>
      <protection hidden="1"/>
    </xf>
    <xf numFmtId="0" fontId="39" fillId="2" borderId="17" xfId="0" applyFont="1" applyFill="1" applyBorder="1" applyAlignment="1" applyProtection="1">
      <alignment vertical="center"/>
      <protection hidden="1"/>
    </xf>
    <xf numFmtId="0" fontId="1" fillId="0" borderId="0" xfId="0" applyFont="1" applyAlignment="1" applyProtection="1">
      <alignment horizontal="right"/>
      <protection hidden="1"/>
    </xf>
  </cellXfs>
  <cellStyles count="7">
    <cellStyle name="Bad" xfId="1" builtinId="27"/>
    <cellStyle name="Comma" xfId="2" builtinId="3"/>
    <cellStyle name="Currency" xfId="3" builtinId="4"/>
    <cellStyle name="Hyperlink" xfId="4" builtinId="8"/>
    <cellStyle name="Normal" xfId="0" builtinId="0"/>
    <cellStyle name="Normal 2" xfId="6" xr:uid="{60463335-E4B8-4AB9-A96F-38B39A98E904}"/>
    <cellStyle name="Percent" xfId="5"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www.admissions.msstate.edu/apply/" TargetMode="External"/><Relationship Id="rId2" Type="http://schemas.openxmlformats.org/officeDocument/2006/relationships/hyperlink" Target="mailto:admit@msstate.edu" TargetMode="External"/><Relationship Id="rId1" Type="http://schemas.openxmlformats.org/officeDocument/2006/relationships/hyperlink" Target="http://www.msstate.edu/" TargetMode="External"/><Relationship Id="rId5" Type="http://schemas.openxmlformats.org/officeDocument/2006/relationships/printerSettings" Target="../printerSettings/printerSettings1.bin"/><Relationship Id="rId4" Type="http://schemas.openxmlformats.org/officeDocument/2006/relationships/hyperlink" Target="http://www.msstate.edu/future-students/apply/"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hyperlink" Target="https://npc.collegeboard.org/app/msu" TargetMode="Externa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F77"/>
  <sheetViews>
    <sheetView tabSelected="1" showRuler="0" zoomScaleNormal="100" workbookViewId="0">
      <selection activeCell="G17" sqref="G17"/>
    </sheetView>
  </sheetViews>
  <sheetFormatPr defaultColWidth="9.140625" defaultRowHeight="12.75" zeroHeight="1" x14ac:dyDescent="0.2"/>
  <cols>
    <col min="1" max="1" width="4.5703125" style="3" bestFit="1" customWidth="1"/>
    <col min="2" max="2" width="71.42578125" style="2" bestFit="1" customWidth="1"/>
    <col min="3" max="3" width="4" style="2" customWidth="1"/>
    <col min="4" max="4" width="45.5703125" style="2" customWidth="1"/>
    <col min="5" max="7" width="9.140625" style="2" customWidth="1"/>
    <col min="8" max="16384" width="9.140625" style="2"/>
  </cols>
  <sheetData>
    <row r="1" spans="1:6" ht="18" x14ac:dyDescent="0.2">
      <c r="A1" s="1" t="s">
        <v>145</v>
      </c>
      <c r="B1" s="1"/>
      <c r="C1" s="1"/>
      <c r="D1" s="1"/>
      <c r="E1" s="1"/>
      <c r="F1" s="1"/>
    </row>
    <row r="2" spans="1:6" x14ac:dyDescent="0.2">
      <c r="C2" s="4"/>
      <c r="D2" s="4"/>
    </row>
    <row r="3" spans="1:6" x14ac:dyDescent="0.2">
      <c r="A3" s="5" t="s">
        <v>86</v>
      </c>
      <c r="B3" s="6" t="s">
        <v>947</v>
      </c>
      <c r="C3" s="7"/>
      <c r="D3" s="7"/>
    </row>
    <row r="4" spans="1:6" x14ac:dyDescent="0.2">
      <c r="A4" s="5"/>
      <c r="B4" s="8" t="s">
        <v>87</v>
      </c>
      <c r="C4" s="9"/>
      <c r="D4" s="10" t="s">
        <v>665</v>
      </c>
    </row>
    <row r="5" spans="1:6" x14ac:dyDescent="0.2">
      <c r="A5" s="5"/>
      <c r="B5" s="8" t="s">
        <v>88</v>
      </c>
      <c r="C5" s="9"/>
      <c r="D5" s="10" t="s">
        <v>666</v>
      </c>
    </row>
    <row r="6" spans="1:6" ht="15.75" customHeight="1" x14ac:dyDescent="0.2">
      <c r="A6" s="5"/>
      <c r="B6" s="11" t="s">
        <v>89</v>
      </c>
      <c r="C6" s="12"/>
      <c r="D6" s="13" t="s">
        <v>667</v>
      </c>
    </row>
    <row r="7" spans="1:6" x14ac:dyDescent="0.2">
      <c r="A7" s="5"/>
      <c r="B7" s="8" t="s">
        <v>147</v>
      </c>
      <c r="C7" s="9"/>
      <c r="D7" s="10" t="s">
        <v>668</v>
      </c>
    </row>
    <row r="8" spans="1:6" x14ac:dyDescent="0.2">
      <c r="A8" s="5"/>
      <c r="B8" s="8" t="s">
        <v>90</v>
      </c>
      <c r="C8" s="9"/>
      <c r="D8" s="10" t="s">
        <v>669</v>
      </c>
    </row>
    <row r="9" spans="1:6" x14ac:dyDescent="0.2">
      <c r="A9" s="5"/>
      <c r="B9" s="8" t="s">
        <v>91</v>
      </c>
      <c r="C9" s="9"/>
      <c r="D9" s="10" t="s">
        <v>670</v>
      </c>
    </row>
    <row r="10" spans="1:6" x14ac:dyDescent="0.2">
      <c r="A10" s="5"/>
      <c r="B10" s="8" t="s">
        <v>92</v>
      </c>
      <c r="C10" s="9"/>
      <c r="D10" s="10" t="s">
        <v>671</v>
      </c>
    </row>
    <row r="11" spans="1:6" x14ac:dyDescent="0.2">
      <c r="A11" s="5"/>
      <c r="B11" s="8" t="s">
        <v>93</v>
      </c>
      <c r="C11" s="9"/>
      <c r="D11" s="10" t="s">
        <v>672</v>
      </c>
    </row>
    <row r="12" spans="1:6" x14ac:dyDescent="0.2">
      <c r="A12" s="5"/>
      <c r="B12" s="14" t="s">
        <v>94</v>
      </c>
      <c r="C12" s="7"/>
      <c r="D12" s="15"/>
      <c r="E12" s="16" t="s">
        <v>344</v>
      </c>
      <c r="F12" s="17" t="s">
        <v>345</v>
      </c>
    </row>
    <row r="13" spans="1:6" x14ac:dyDescent="0.2">
      <c r="A13" s="5"/>
      <c r="B13" s="14"/>
      <c r="C13" s="7"/>
      <c r="D13" s="15"/>
      <c r="E13" s="18" t="s">
        <v>684</v>
      </c>
      <c r="F13" s="19"/>
    </row>
    <row r="14" spans="1:6" x14ac:dyDescent="0.2">
      <c r="A14" s="5"/>
      <c r="B14" s="20" t="s">
        <v>95</v>
      </c>
      <c r="C14" s="21"/>
      <c r="D14" s="22"/>
    </row>
    <row r="15" spans="1:6" x14ac:dyDescent="0.2">
      <c r="A15" s="5"/>
      <c r="B15" s="23" t="s">
        <v>673</v>
      </c>
      <c r="C15" s="24"/>
      <c r="D15" s="25"/>
    </row>
    <row r="16" spans="1:6" x14ac:dyDescent="0.2">
      <c r="A16" s="5"/>
      <c r="B16" s="26"/>
      <c r="C16" s="27"/>
      <c r="D16" s="27"/>
    </row>
    <row r="17" spans="1:4" ht="53.25" customHeight="1" x14ac:dyDescent="0.2">
      <c r="A17" s="5"/>
      <c r="B17" s="28" t="s">
        <v>482</v>
      </c>
      <c r="C17" s="28"/>
      <c r="D17" s="28"/>
    </row>
    <row r="18" spans="1:4" ht="53.25" customHeight="1" x14ac:dyDescent="0.2">
      <c r="A18" s="5"/>
      <c r="B18" s="29"/>
      <c r="C18" s="30"/>
      <c r="D18" s="31"/>
    </row>
    <row r="19" spans="1:4" x14ac:dyDescent="0.2">
      <c r="C19" s="7"/>
      <c r="D19" s="7"/>
    </row>
    <row r="20" spans="1:4" x14ac:dyDescent="0.2">
      <c r="A20" s="5" t="s">
        <v>477</v>
      </c>
      <c r="B20" s="32" t="s">
        <v>146</v>
      </c>
      <c r="C20" s="33"/>
      <c r="D20" s="33"/>
    </row>
    <row r="21" spans="1:4" x14ac:dyDescent="0.2">
      <c r="A21" s="5"/>
      <c r="B21" s="34" t="s">
        <v>261</v>
      </c>
      <c r="C21" s="35" t="s">
        <v>674</v>
      </c>
      <c r="D21" s="35"/>
    </row>
    <row r="22" spans="1:4" x14ac:dyDescent="0.2">
      <c r="A22" s="5"/>
      <c r="B22" s="34" t="s">
        <v>147</v>
      </c>
      <c r="C22" s="36" t="s">
        <v>675</v>
      </c>
      <c r="D22" s="36"/>
    </row>
    <row r="23" spans="1:4" x14ac:dyDescent="0.2">
      <c r="A23" s="5"/>
      <c r="B23" s="37" t="s">
        <v>90</v>
      </c>
      <c r="C23" s="35" t="s">
        <v>676</v>
      </c>
      <c r="D23" s="35"/>
    </row>
    <row r="24" spans="1:4" x14ac:dyDescent="0.2">
      <c r="A24" s="5"/>
      <c r="B24" s="38" t="s">
        <v>469</v>
      </c>
      <c r="C24" s="39"/>
      <c r="D24" s="40"/>
    </row>
    <row r="25" spans="1:4" x14ac:dyDescent="0.2">
      <c r="A25" s="5"/>
      <c r="B25" s="41" t="s">
        <v>90</v>
      </c>
      <c r="C25" s="39"/>
      <c r="D25" s="40"/>
    </row>
    <row r="26" spans="1:4" x14ac:dyDescent="0.2">
      <c r="A26" s="5"/>
      <c r="B26" s="34" t="s">
        <v>470</v>
      </c>
      <c r="C26" s="35" t="s">
        <v>677</v>
      </c>
      <c r="D26" s="35"/>
    </row>
    <row r="27" spans="1:4" x14ac:dyDescent="0.2">
      <c r="A27" s="5"/>
      <c r="B27" s="34" t="s">
        <v>148</v>
      </c>
      <c r="C27" s="42" t="s">
        <v>678</v>
      </c>
      <c r="D27" s="35"/>
    </row>
    <row r="28" spans="1:4" x14ac:dyDescent="0.2">
      <c r="A28" s="5"/>
      <c r="B28" s="34" t="s">
        <v>149</v>
      </c>
      <c r="C28" s="35" t="s">
        <v>679</v>
      </c>
      <c r="D28" s="35"/>
    </row>
    <row r="29" spans="1:4" x14ac:dyDescent="0.2">
      <c r="A29" s="5"/>
      <c r="B29" s="34" t="s">
        <v>150</v>
      </c>
      <c r="C29" s="35"/>
      <c r="D29" s="35"/>
    </row>
    <row r="30" spans="1:4" x14ac:dyDescent="0.2">
      <c r="A30" s="5"/>
      <c r="B30" s="34" t="s">
        <v>471</v>
      </c>
      <c r="C30" s="43" t="s">
        <v>680</v>
      </c>
      <c r="D30" s="44"/>
    </row>
    <row r="31" spans="1:4" x14ac:dyDescent="0.2">
      <c r="A31" s="5"/>
      <c r="B31" s="45" t="s">
        <v>90</v>
      </c>
      <c r="C31" s="35" t="s">
        <v>676</v>
      </c>
      <c r="D31" s="35"/>
    </row>
    <row r="32" spans="1:4" x14ac:dyDescent="0.2">
      <c r="A32" s="5"/>
      <c r="B32" s="34" t="s">
        <v>561</v>
      </c>
      <c r="C32" s="35" t="s">
        <v>681</v>
      </c>
      <c r="D32" s="35"/>
    </row>
    <row r="33" spans="1:4" x14ac:dyDescent="0.2">
      <c r="A33" s="5"/>
      <c r="B33" s="34" t="s">
        <v>151</v>
      </c>
      <c r="C33" s="46" t="s">
        <v>682</v>
      </c>
      <c r="D33" s="35"/>
    </row>
    <row r="34" spans="1:4" x14ac:dyDescent="0.2">
      <c r="A34" s="5"/>
      <c r="B34" s="47" t="s">
        <v>654</v>
      </c>
      <c r="C34" s="48" t="s">
        <v>683</v>
      </c>
      <c r="D34" s="49"/>
    </row>
    <row r="35" spans="1:4" ht="25.5" x14ac:dyDescent="0.2">
      <c r="A35" s="5"/>
      <c r="B35" s="50" t="s">
        <v>281</v>
      </c>
      <c r="C35" s="51"/>
      <c r="D35" s="52"/>
    </row>
    <row r="36" spans="1:4" x14ac:dyDescent="0.2"/>
    <row r="37" spans="1:4" ht="25.5" customHeight="1" x14ac:dyDescent="0.2">
      <c r="A37" s="53" t="s">
        <v>478</v>
      </c>
      <c r="B37" s="54" t="s">
        <v>152</v>
      </c>
      <c r="C37" s="55"/>
      <c r="D37" s="55"/>
    </row>
    <row r="38" spans="1:4" x14ac:dyDescent="0.2">
      <c r="A38" s="5"/>
      <c r="B38" s="45" t="s">
        <v>153</v>
      </c>
      <c r="C38" s="18" t="s">
        <v>684</v>
      </c>
    </row>
    <row r="39" spans="1:4" x14ac:dyDescent="0.2">
      <c r="A39" s="5"/>
      <c r="B39" s="45" t="s">
        <v>154</v>
      </c>
      <c r="C39" s="56"/>
    </row>
    <row r="40" spans="1:4" x14ac:dyDescent="0.2">
      <c r="A40" s="5"/>
      <c r="B40" s="45" t="s">
        <v>155</v>
      </c>
      <c r="C40" s="56"/>
    </row>
    <row r="41" spans="1:4" x14ac:dyDescent="0.2">
      <c r="A41" s="5"/>
      <c r="B41" s="6"/>
    </row>
    <row r="42" spans="1:4" x14ac:dyDescent="0.2">
      <c r="A42" s="5" t="s">
        <v>479</v>
      </c>
      <c r="B42" s="6" t="s">
        <v>472</v>
      </c>
    </row>
    <row r="43" spans="1:4" x14ac:dyDescent="0.2">
      <c r="A43" s="5"/>
      <c r="B43" s="45" t="s">
        <v>156</v>
      </c>
      <c r="C43" s="18" t="s">
        <v>684</v>
      </c>
    </row>
    <row r="44" spans="1:4" x14ac:dyDescent="0.2">
      <c r="A44" s="5"/>
      <c r="B44" s="45" t="s">
        <v>157</v>
      </c>
      <c r="C44" s="56"/>
    </row>
    <row r="45" spans="1:4" x14ac:dyDescent="0.2">
      <c r="A45" s="5"/>
      <c r="B45" s="45" t="s">
        <v>158</v>
      </c>
      <c r="C45" s="56"/>
    </row>
    <row r="46" spans="1:4" x14ac:dyDescent="0.2">
      <c r="A46" s="5"/>
      <c r="B46" s="6"/>
    </row>
    <row r="47" spans="1:4" x14ac:dyDescent="0.2">
      <c r="A47" s="5" t="s">
        <v>480</v>
      </c>
      <c r="B47" s="6" t="s">
        <v>159</v>
      </c>
      <c r="C47" s="57"/>
    </row>
    <row r="48" spans="1:4" x14ac:dyDescent="0.2">
      <c r="A48" s="5"/>
      <c r="B48" s="6"/>
      <c r="C48" s="57"/>
    </row>
    <row r="49" spans="1:3" x14ac:dyDescent="0.2">
      <c r="A49" s="5"/>
      <c r="B49" s="45" t="s">
        <v>160</v>
      </c>
      <c r="C49" s="18" t="s">
        <v>684</v>
      </c>
    </row>
    <row r="50" spans="1:3" x14ac:dyDescent="0.2">
      <c r="A50" s="5"/>
      <c r="B50" s="45" t="s">
        <v>161</v>
      </c>
      <c r="C50" s="58"/>
    </row>
    <row r="51" spans="1:3" x14ac:dyDescent="0.2">
      <c r="A51" s="5"/>
      <c r="B51" s="45" t="s">
        <v>162</v>
      </c>
      <c r="C51" s="58"/>
    </row>
    <row r="52" spans="1:3" x14ac:dyDescent="0.2">
      <c r="A52" s="5"/>
      <c r="B52" s="59" t="s">
        <v>163</v>
      </c>
      <c r="C52" s="58"/>
    </row>
    <row r="53" spans="1:3" x14ac:dyDescent="0.2">
      <c r="A53" s="5"/>
      <c r="B53" s="45" t="s">
        <v>164</v>
      </c>
      <c r="C53" s="58"/>
    </row>
    <row r="54" spans="1:3" x14ac:dyDescent="0.2">
      <c r="A54" s="5"/>
      <c r="B54" s="60" t="s">
        <v>165</v>
      </c>
      <c r="C54" s="58"/>
    </row>
    <row r="55" spans="1:3" x14ac:dyDescent="0.2">
      <c r="A55" s="5"/>
      <c r="B55" s="61"/>
      <c r="C55" s="62"/>
    </row>
    <row r="56" spans="1:3" x14ac:dyDescent="0.2">
      <c r="A56" s="5"/>
      <c r="B56" s="60" t="s">
        <v>166</v>
      </c>
      <c r="C56" s="58"/>
    </row>
    <row r="57" spans="1:3" x14ac:dyDescent="0.2">
      <c r="A57" s="5"/>
      <c r="B57" s="63"/>
      <c r="C57" s="64"/>
    </row>
    <row r="58" spans="1:3" x14ac:dyDescent="0.2">
      <c r="A58" s="5"/>
      <c r="B58" s="6"/>
      <c r="C58" s="57"/>
    </row>
    <row r="59" spans="1:3" x14ac:dyDescent="0.2"/>
    <row r="60" spans="1:3" x14ac:dyDescent="0.2">
      <c r="A60" s="5" t="s">
        <v>481</v>
      </c>
      <c r="B60" s="6" t="s">
        <v>473</v>
      </c>
    </row>
    <row r="61" spans="1:3" x14ac:dyDescent="0.2">
      <c r="A61" s="5"/>
      <c r="B61" s="6"/>
    </row>
    <row r="62" spans="1:3" x14ac:dyDescent="0.2">
      <c r="A62" s="5"/>
      <c r="B62" s="45" t="s">
        <v>167</v>
      </c>
      <c r="C62" s="56"/>
    </row>
    <row r="63" spans="1:3" x14ac:dyDescent="0.2">
      <c r="A63" s="5"/>
      <c r="B63" s="45" t="s">
        <v>168</v>
      </c>
      <c r="C63" s="56"/>
    </row>
    <row r="64" spans="1:3" x14ac:dyDescent="0.2">
      <c r="A64" s="5"/>
      <c r="B64" s="45" t="s">
        <v>169</v>
      </c>
      <c r="C64" s="65"/>
    </row>
    <row r="65" spans="1:3" x14ac:dyDescent="0.2">
      <c r="A65" s="5"/>
      <c r="B65" s="45" t="s">
        <v>170</v>
      </c>
      <c r="C65" s="65"/>
    </row>
    <row r="66" spans="1:3" x14ac:dyDescent="0.2">
      <c r="A66" s="5"/>
      <c r="B66" s="45" t="s">
        <v>171</v>
      </c>
      <c r="C66" s="65"/>
    </row>
    <row r="67" spans="1:3" x14ac:dyDescent="0.2">
      <c r="A67" s="5"/>
      <c r="B67" s="66" t="s">
        <v>926</v>
      </c>
      <c r="C67" s="18" t="s">
        <v>684</v>
      </c>
    </row>
    <row r="68" spans="1:3" x14ac:dyDescent="0.2">
      <c r="A68" s="5"/>
      <c r="B68" s="45" t="s">
        <v>172</v>
      </c>
      <c r="C68" s="18" t="s">
        <v>684</v>
      </c>
    </row>
    <row r="69" spans="1:3" x14ac:dyDescent="0.2">
      <c r="A69" s="5"/>
      <c r="B69" s="66" t="s">
        <v>927</v>
      </c>
      <c r="C69" s="18" t="s">
        <v>684</v>
      </c>
    </row>
    <row r="70" spans="1:3" x14ac:dyDescent="0.2">
      <c r="A70" s="5"/>
      <c r="B70" s="66" t="s">
        <v>928</v>
      </c>
      <c r="C70" s="18" t="s">
        <v>684</v>
      </c>
    </row>
    <row r="71" spans="1:3" x14ac:dyDescent="0.2">
      <c r="A71" s="5"/>
      <c r="B71" s="45" t="s">
        <v>173</v>
      </c>
      <c r="C71" s="18" t="s">
        <v>684</v>
      </c>
    </row>
    <row r="72" spans="1:3" x14ac:dyDescent="0.2">
      <c r="A72" s="5"/>
      <c r="B72" s="67" t="s">
        <v>923</v>
      </c>
      <c r="C72" s="18" t="s">
        <v>684</v>
      </c>
    </row>
    <row r="73" spans="1:3" x14ac:dyDescent="0.2">
      <c r="A73" s="5"/>
      <c r="B73" s="67" t="s">
        <v>924</v>
      </c>
      <c r="C73" s="18" t="s">
        <v>684</v>
      </c>
    </row>
    <row r="74" spans="1:3" x14ac:dyDescent="0.2">
      <c r="A74" s="5"/>
      <c r="B74" s="66" t="s">
        <v>925</v>
      </c>
      <c r="C74" s="65"/>
    </row>
    <row r="75" spans="1:3" x14ac:dyDescent="0.2">
      <c r="A75" s="68" t="s">
        <v>481</v>
      </c>
      <c r="B75" s="69" t="s">
        <v>367</v>
      </c>
      <c r="C75" s="70"/>
    </row>
    <row r="76" spans="1:3" x14ac:dyDescent="0.2">
      <c r="A76" s="71"/>
      <c r="B76" s="72"/>
      <c r="C76" s="72"/>
    </row>
    <row r="77" spans="1:3" hidden="1" x14ac:dyDescent="0.2">
      <c r="A77" s="71"/>
      <c r="B77" s="72"/>
      <c r="C77" s="72"/>
    </row>
  </sheetData>
  <sheetProtection algorithmName="SHA-512" hashValue="avJS4VJGE2h24kNvzQ4ibefK+oaid3Z0aKD56cXu/jkH+UIz/pKh33tDuHm0dTFIYy0iDJ9TAgli/m4h4EUxEg==" saltValue="L09JPZDz6QKgEPPP4diNNw==" spinCount="100000" sheet="1" objects="1" scenarios="1"/>
  <mergeCells count="22">
    <mergeCell ref="C22:D22"/>
    <mergeCell ref="C23:D23"/>
    <mergeCell ref="C26:D26"/>
    <mergeCell ref="C27:D27"/>
    <mergeCell ref="C24:D24"/>
    <mergeCell ref="C25:D25"/>
    <mergeCell ref="A1:F1"/>
    <mergeCell ref="C34:D34"/>
    <mergeCell ref="B37:D37"/>
    <mergeCell ref="C28:D28"/>
    <mergeCell ref="C29:D29"/>
    <mergeCell ref="C32:D32"/>
    <mergeCell ref="C33:D33"/>
    <mergeCell ref="C30:D30"/>
    <mergeCell ref="C31:D31"/>
    <mergeCell ref="C35:D35"/>
    <mergeCell ref="C2:D2"/>
    <mergeCell ref="C20:D20"/>
    <mergeCell ref="C21:D21"/>
    <mergeCell ref="B17:D17"/>
    <mergeCell ref="B18:D18"/>
    <mergeCell ref="B15:D15"/>
  </mergeCells>
  <phoneticPr fontId="0" type="noConversion"/>
  <hyperlinks>
    <hyperlink ref="C27" r:id="rId1" xr:uid="{00000000-0004-0000-0000-000000000000}"/>
    <hyperlink ref="C33" r:id="rId2" xr:uid="{00000000-0004-0000-0000-000001000000}"/>
    <hyperlink ref="C34" r:id="rId3" display="http://www.admissions.msstate.edu/apply/" xr:uid="{00000000-0004-0000-0000-000002000000}"/>
    <hyperlink ref="C34:D34" r:id="rId4" display="http://www.msstate.edu/future-students/apply/" xr:uid="{00000000-0004-0000-0000-000003000000}"/>
  </hyperlinks>
  <printOptions horizontalCentered="1"/>
  <pageMargins left="0" right="0" top="1.25" bottom="0.5" header="0.25" footer="0.5"/>
  <pageSetup scale="73" fitToHeight="2" orientation="portrait" r:id="rId5"/>
  <headerFooter alignWithMargins="0">
    <oddHeader>&amp;C&amp;"Arial,Bold"&amp;14&amp;K05-042Mississippi State University
&amp;11Office of Institutional Research and Effectiveness
Common Data Set 2022-23</oddHeader>
    <oddFooter>&amp;L&amp;9&amp;K05-049Updated: &amp;D&amp;C&amp;9&amp;K05-049&amp;A&amp;R&amp;9&amp;K05-049Page &amp;P</oddFooter>
  </headerFooter>
  <rowBreaks count="1" manualBreakCount="1">
    <brk id="36" max="16383" man="1"/>
  </rowBreaks>
  <ignoredErrors>
    <ignoredError sqref="B52" twoDigitTextYear="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O214"/>
  <sheetViews>
    <sheetView showRuler="0" zoomScaleNormal="100" workbookViewId="0">
      <selection sqref="A1:F1"/>
    </sheetView>
  </sheetViews>
  <sheetFormatPr defaultRowHeight="12.75" zeroHeight="1" x14ac:dyDescent="0.2"/>
  <cols>
    <col min="1" max="1" width="4.140625" style="3" bestFit="1" customWidth="1"/>
    <col min="2" max="2" width="37.140625" style="2" customWidth="1"/>
    <col min="3" max="6" width="20.5703125" style="2" customWidth="1"/>
    <col min="7" max="7" width="9.7109375" style="72" customWidth="1"/>
    <col min="8" max="15" width="9.140625" style="72"/>
    <col min="16" max="16384" width="9.140625" style="2"/>
  </cols>
  <sheetData>
    <row r="1" spans="1:13" ht="18" x14ac:dyDescent="0.2">
      <c r="A1" s="1" t="s">
        <v>174</v>
      </c>
      <c r="B1" s="1"/>
      <c r="C1" s="1"/>
      <c r="D1" s="1"/>
      <c r="E1" s="1"/>
      <c r="F1" s="1"/>
    </row>
    <row r="2" spans="1:13" x14ac:dyDescent="0.2"/>
    <row r="3" spans="1:13" ht="42.75" customHeight="1" x14ac:dyDescent="0.2">
      <c r="A3" s="5" t="s">
        <v>82</v>
      </c>
      <c r="B3" s="54" t="s">
        <v>808</v>
      </c>
      <c r="C3" s="73"/>
      <c r="D3" s="73"/>
      <c r="E3" s="73"/>
      <c r="F3" s="73"/>
    </row>
    <row r="4" spans="1:13" x14ac:dyDescent="0.2">
      <c r="A4" s="5"/>
      <c r="B4" s="74" t="s">
        <v>804</v>
      </c>
      <c r="C4" s="55"/>
      <c r="D4" s="55"/>
      <c r="E4" s="55"/>
      <c r="F4" s="55"/>
    </row>
    <row r="5" spans="1:13" x14ac:dyDescent="0.2">
      <c r="A5" s="5"/>
      <c r="B5" s="75"/>
      <c r="C5" s="76"/>
      <c r="D5" s="76"/>
      <c r="E5" s="76"/>
      <c r="F5" s="76"/>
    </row>
    <row r="6" spans="1:13" x14ac:dyDescent="0.2">
      <c r="A6" s="5"/>
      <c r="B6" s="77"/>
      <c r="C6" s="78" t="s">
        <v>175</v>
      </c>
      <c r="D6" s="78"/>
      <c r="E6" s="78" t="s">
        <v>176</v>
      </c>
      <c r="F6" s="78"/>
    </row>
    <row r="7" spans="1:13" x14ac:dyDescent="0.2">
      <c r="A7" s="5"/>
      <c r="B7" s="34"/>
      <c r="C7" s="79" t="s">
        <v>177</v>
      </c>
      <c r="D7" s="79" t="s">
        <v>178</v>
      </c>
      <c r="E7" s="79" t="s">
        <v>177</v>
      </c>
      <c r="F7" s="79" t="s">
        <v>178</v>
      </c>
    </row>
    <row r="8" spans="1:13" x14ac:dyDescent="0.2">
      <c r="A8" s="5"/>
      <c r="B8" s="80" t="s">
        <v>179</v>
      </c>
      <c r="C8" s="81"/>
      <c r="D8" s="81"/>
      <c r="E8" s="81"/>
      <c r="F8" s="81"/>
      <c r="H8" s="72" t="s">
        <v>685</v>
      </c>
      <c r="I8" s="72" t="s">
        <v>686</v>
      </c>
      <c r="J8" s="72" t="s">
        <v>687</v>
      </c>
      <c r="L8" s="72" t="s">
        <v>688</v>
      </c>
      <c r="M8" s="72" t="s">
        <v>689</v>
      </c>
    </row>
    <row r="9" spans="1:13" x14ac:dyDescent="0.2">
      <c r="A9" s="5"/>
      <c r="B9" s="82" t="s">
        <v>180</v>
      </c>
      <c r="C9" s="83">
        <v>1612</v>
      </c>
      <c r="D9" s="84">
        <v>1741</v>
      </c>
      <c r="E9" s="84">
        <v>6</v>
      </c>
      <c r="F9" s="84">
        <v>8</v>
      </c>
      <c r="G9" s="72" t="s">
        <v>690</v>
      </c>
      <c r="H9" s="85">
        <f>SUM(C9+E9)</f>
        <v>1618</v>
      </c>
      <c r="I9" s="72">
        <f>SUM(D9+F9)</f>
        <v>1749</v>
      </c>
      <c r="J9" s="72">
        <f t="shared" ref="J9:J14" si="0">SUM(H9:I9)</f>
        <v>3367</v>
      </c>
      <c r="L9" s="72">
        <f t="shared" ref="L9:L14" si="1">SUM(C9:D9)</f>
        <v>3353</v>
      </c>
      <c r="M9" s="72">
        <f t="shared" ref="M9:M14" si="2">SUM(E9:F9)</f>
        <v>14</v>
      </c>
    </row>
    <row r="10" spans="1:13" x14ac:dyDescent="0.2">
      <c r="A10" s="5"/>
      <c r="B10" s="86" t="s">
        <v>181</v>
      </c>
      <c r="C10" s="84">
        <v>822</v>
      </c>
      <c r="D10" s="84">
        <v>827</v>
      </c>
      <c r="E10" s="84">
        <v>76</v>
      </c>
      <c r="F10" s="84">
        <v>104</v>
      </c>
      <c r="H10" s="72">
        <f t="shared" ref="H10:I14" si="3">SUM(C10+E10)</f>
        <v>898</v>
      </c>
      <c r="I10" s="72">
        <f t="shared" si="3"/>
        <v>931</v>
      </c>
      <c r="J10" s="72">
        <f t="shared" si="0"/>
        <v>1829</v>
      </c>
      <c r="L10" s="72">
        <f t="shared" si="1"/>
        <v>1649</v>
      </c>
      <c r="M10" s="72">
        <f t="shared" si="2"/>
        <v>180</v>
      </c>
    </row>
    <row r="11" spans="1:13" x14ac:dyDescent="0.2">
      <c r="A11" s="5"/>
      <c r="B11" s="86" t="s">
        <v>182</v>
      </c>
      <c r="C11" s="84">
        <v>5590</v>
      </c>
      <c r="D11" s="84">
        <v>5785</v>
      </c>
      <c r="E11" s="84">
        <v>735</v>
      </c>
      <c r="F11" s="84">
        <v>598</v>
      </c>
      <c r="H11" s="72">
        <f t="shared" si="3"/>
        <v>6325</v>
      </c>
      <c r="I11" s="72">
        <f t="shared" si="3"/>
        <v>6383</v>
      </c>
      <c r="J11" s="72">
        <f t="shared" si="0"/>
        <v>12708</v>
      </c>
      <c r="L11" s="72">
        <f t="shared" si="1"/>
        <v>11375</v>
      </c>
      <c r="M11" s="72">
        <f t="shared" si="2"/>
        <v>1333</v>
      </c>
    </row>
    <row r="12" spans="1:13" x14ac:dyDescent="0.2">
      <c r="A12" s="5"/>
      <c r="B12" s="87" t="s">
        <v>183</v>
      </c>
      <c r="C12" s="88">
        <f>SUM(C9:C11)</f>
        <v>8024</v>
      </c>
      <c r="D12" s="88">
        <f>SUM(D9:D11)</f>
        <v>8353</v>
      </c>
      <c r="E12" s="88">
        <f>SUM(E9:E11)</f>
        <v>817</v>
      </c>
      <c r="F12" s="88">
        <f>SUM(F9:F11)</f>
        <v>710</v>
      </c>
      <c r="H12" s="89">
        <f t="shared" si="3"/>
        <v>8841</v>
      </c>
      <c r="I12" s="89">
        <f t="shared" si="3"/>
        <v>9063</v>
      </c>
      <c r="J12" s="89">
        <f t="shared" si="0"/>
        <v>17904</v>
      </c>
      <c r="K12" s="89"/>
      <c r="L12" s="89">
        <f t="shared" si="1"/>
        <v>16377</v>
      </c>
      <c r="M12" s="89">
        <f t="shared" si="2"/>
        <v>1527</v>
      </c>
    </row>
    <row r="13" spans="1:13" ht="25.5" x14ac:dyDescent="0.2">
      <c r="A13" s="5"/>
      <c r="B13" s="82" t="s">
        <v>289</v>
      </c>
      <c r="C13" s="84">
        <v>140</v>
      </c>
      <c r="D13" s="84">
        <v>104</v>
      </c>
      <c r="E13" s="84">
        <v>85</v>
      </c>
      <c r="F13" s="84">
        <v>72</v>
      </c>
      <c r="H13" s="72">
        <f t="shared" si="3"/>
        <v>225</v>
      </c>
      <c r="I13" s="72">
        <f t="shared" si="3"/>
        <v>176</v>
      </c>
      <c r="J13" s="72">
        <f t="shared" si="0"/>
        <v>401</v>
      </c>
      <c r="L13" s="72">
        <f t="shared" si="1"/>
        <v>244</v>
      </c>
      <c r="M13" s="72">
        <f t="shared" si="2"/>
        <v>157</v>
      </c>
    </row>
    <row r="14" spans="1:13" x14ac:dyDescent="0.2">
      <c r="A14" s="5"/>
      <c r="B14" s="90" t="s">
        <v>290</v>
      </c>
      <c r="C14" s="91">
        <f>SUM(C12:C13)</f>
        <v>8164</v>
      </c>
      <c r="D14" s="91">
        <f>SUM(D12:D13)</f>
        <v>8457</v>
      </c>
      <c r="E14" s="91">
        <f>SUM(E12:E13)</f>
        <v>902</v>
      </c>
      <c r="F14" s="91">
        <f>SUM(F12:F13)</f>
        <v>782</v>
      </c>
      <c r="H14" s="92">
        <f>SUM(C14+E14)</f>
        <v>9066</v>
      </c>
      <c r="I14" s="89">
        <f t="shared" si="3"/>
        <v>9239</v>
      </c>
      <c r="J14" s="89">
        <f t="shared" si="0"/>
        <v>18305</v>
      </c>
      <c r="K14" s="89"/>
      <c r="L14" s="89">
        <f t="shared" si="1"/>
        <v>16621</v>
      </c>
      <c r="M14" s="89">
        <f t="shared" si="2"/>
        <v>1684</v>
      </c>
    </row>
    <row r="15" spans="1:13" x14ac:dyDescent="0.2">
      <c r="A15" s="5"/>
      <c r="B15" s="80" t="s">
        <v>535</v>
      </c>
      <c r="C15" s="93"/>
      <c r="D15" s="93"/>
      <c r="E15" s="93"/>
      <c r="F15" s="93"/>
      <c r="G15" s="72" t="s">
        <v>691</v>
      </c>
    </row>
    <row r="16" spans="1:13" x14ac:dyDescent="0.2">
      <c r="A16" s="5"/>
      <c r="B16" s="94" t="s">
        <v>536</v>
      </c>
      <c r="C16" s="95">
        <v>182</v>
      </c>
      <c r="D16" s="95">
        <v>255</v>
      </c>
      <c r="E16" s="95">
        <v>103</v>
      </c>
      <c r="F16" s="95">
        <v>114</v>
      </c>
      <c r="H16" s="72">
        <f>SUM(C16+E16)</f>
        <v>285</v>
      </c>
      <c r="I16" s="72">
        <f>SUM(D16+F16)</f>
        <v>369</v>
      </c>
      <c r="J16" s="72">
        <f>SUM(H16:I16)</f>
        <v>654</v>
      </c>
      <c r="L16" s="72">
        <f>SUM(C16:D16)</f>
        <v>437</v>
      </c>
      <c r="M16" s="72">
        <f>SUM(E16:F16)</f>
        <v>217</v>
      </c>
    </row>
    <row r="17" spans="1:13" x14ac:dyDescent="0.2">
      <c r="A17" s="5"/>
      <c r="B17" s="94" t="s">
        <v>182</v>
      </c>
      <c r="C17" s="95">
        <v>697</v>
      </c>
      <c r="D17" s="95">
        <v>1003</v>
      </c>
      <c r="E17" s="95">
        <v>901</v>
      </c>
      <c r="F17" s="95">
        <v>1014</v>
      </c>
      <c r="H17" s="72">
        <f t="shared" ref="H17:I19" si="4">SUM(C17+E17)</f>
        <v>1598</v>
      </c>
      <c r="I17" s="72">
        <f t="shared" si="4"/>
        <v>2017</v>
      </c>
      <c r="J17" s="72">
        <f>SUM(H17:I17)</f>
        <v>3615</v>
      </c>
      <c r="L17" s="72">
        <f>SUM(C17:D17)</f>
        <v>1700</v>
      </c>
      <c r="M17" s="72">
        <f>SUM(E17:F17)</f>
        <v>1915</v>
      </c>
    </row>
    <row r="18" spans="1:13" ht="25.5" x14ac:dyDescent="0.2">
      <c r="A18" s="5"/>
      <c r="B18" s="96" t="s">
        <v>537</v>
      </c>
      <c r="C18" s="95">
        <v>1</v>
      </c>
      <c r="D18" s="95">
        <v>3</v>
      </c>
      <c r="E18" s="95">
        <v>35</v>
      </c>
      <c r="F18" s="95">
        <v>36</v>
      </c>
      <c r="H18" s="72">
        <f t="shared" si="4"/>
        <v>36</v>
      </c>
      <c r="I18" s="72">
        <f t="shared" si="4"/>
        <v>39</v>
      </c>
      <c r="J18" s="72">
        <f>SUM(H18:I18)</f>
        <v>75</v>
      </c>
      <c r="L18" s="72">
        <f>SUM(C18:D18)</f>
        <v>4</v>
      </c>
      <c r="M18" s="72">
        <f>SUM(E18:F18)</f>
        <v>71</v>
      </c>
    </row>
    <row r="19" spans="1:13" x14ac:dyDescent="0.2">
      <c r="A19" s="5"/>
      <c r="B19" s="90" t="s">
        <v>538</v>
      </c>
      <c r="C19" s="97">
        <f>SUM(C16:C18)</f>
        <v>880</v>
      </c>
      <c r="D19" s="97">
        <f>SUM(D16:D18)</f>
        <v>1261</v>
      </c>
      <c r="E19" s="97">
        <f>SUM(E16:E18)</f>
        <v>1039</v>
      </c>
      <c r="F19" s="97">
        <f>SUM(F16:F18)</f>
        <v>1164</v>
      </c>
      <c r="H19" s="89">
        <f t="shared" si="4"/>
        <v>1919</v>
      </c>
      <c r="I19" s="89">
        <f t="shared" si="4"/>
        <v>2425</v>
      </c>
      <c r="J19" s="89">
        <f>SUM(H19:I19)</f>
        <v>4344</v>
      </c>
      <c r="K19" s="89"/>
      <c r="L19" s="89">
        <f>SUM(C19:D19)</f>
        <v>2141</v>
      </c>
      <c r="M19" s="89">
        <f>SUM(E19:F19)</f>
        <v>2203</v>
      </c>
    </row>
    <row r="20" spans="1:13" s="72" customFormat="1" ht="3" customHeight="1" x14ac:dyDescent="0.2">
      <c r="A20" s="68"/>
      <c r="B20" s="98"/>
      <c r="C20" s="92">
        <f>SUM(C19+C14)</f>
        <v>9044</v>
      </c>
      <c r="D20" s="92">
        <f>SUM(D19+D14)</f>
        <v>9718</v>
      </c>
      <c r="E20" s="92">
        <f>SUM(E19+E14)</f>
        <v>1941</v>
      </c>
      <c r="F20" s="92">
        <f>SUM(F19+F14)</f>
        <v>1946</v>
      </c>
      <c r="H20" s="89"/>
      <c r="I20" s="89"/>
      <c r="J20" s="89"/>
      <c r="K20" s="89"/>
      <c r="L20" s="89"/>
      <c r="M20" s="89"/>
    </row>
    <row r="21" spans="1:13" x14ac:dyDescent="0.2">
      <c r="A21" s="5"/>
      <c r="B21" s="99" t="s">
        <v>539</v>
      </c>
      <c r="C21" s="100">
        <f>SUM(C14+C19)</f>
        <v>9044</v>
      </c>
      <c r="D21" s="100">
        <f t="shared" ref="D21:E21" si="5">SUM(D14+D19)</f>
        <v>9718</v>
      </c>
      <c r="E21" s="100">
        <f t="shared" si="5"/>
        <v>1941</v>
      </c>
      <c r="F21" s="101">
        <f>SUM(C14:F14)</f>
        <v>18305</v>
      </c>
      <c r="H21" s="92">
        <f>SUM(C14+C19)</f>
        <v>9044</v>
      </c>
      <c r="I21" s="92">
        <f>SUM(D14+D19)</f>
        <v>9718</v>
      </c>
      <c r="J21" s="92">
        <f>SUM(E14+E19)</f>
        <v>1941</v>
      </c>
      <c r="K21" s="92">
        <f>SUM(F14+F19)</f>
        <v>1946</v>
      </c>
      <c r="L21" s="92">
        <f>SUM(H21:K21)</f>
        <v>22649</v>
      </c>
    </row>
    <row r="22" spans="1:13" ht="13.5" thickBot="1" x14ac:dyDescent="0.25">
      <c r="A22" s="5"/>
      <c r="B22" s="102" t="s">
        <v>368</v>
      </c>
      <c r="C22" s="103"/>
      <c r="D22" s="103"/>
      <c r="E22" s="103"/>
      <c r="F22" s="104">
        <f>SUM(C19:F19)</f>
        <v>4344</v>
      </c>
    </row>
    <row r="23" spans="1:13" ht="14.25" thickTop="1" thickBot="1" x14ac:dyDescent="0.25">
      <c r="A23" s="5"/>
      <c r="B23" s="105" t="s">
        <v>540</v>
      </c>
      <c r="C23" s="106"/>
      <c r="D23" s="106"/>
      <c r="E23" s="106"/>
      <c r="F23" s="107">
        <f>SUM(F21:F22)</f>
        <v>22649</v>
      </c>
    </row>
    <row r="24" spans="1:13" ht="13.5" thickTop="1" x14ac:dyDescent="0.2"/>
    <row r="25" spans="1:13" ht="28.5" customHeight="1" x14ac:dyDescent="0.2">
      <c r="A25" s="53" t="s">
        <v>83</v>
      </c>
      <c r="B25" s="54" t="s">
        <v>809</v>
      </c>
      <c r="C25" s="108"/>
      <c r="D25" s="108"/>
      <c r="E25" s="108"/>
      <c r="F25" s="108"/>
    </row>
    <row r="26" spans="1:13" ht="15" customHeight="1" x14ac:dyDescent="0.2">
      <c r="A26" s="5"/>
      <c r="B26" s="109" t="s">
        <v>805</v>
      </c>
      <c r="C26" s="109"/>
      <c r="D26" s="109"/>
      <c r="E26" s="109"/>
      <c r="F26" s="109"/>
    </row>
    <row r="27" spans="1:13" ht="23.45" customHeight="1" x14ac:dyDescent="0.2">
      <c r="A27" s="5"/>
      <c r="B27" s="109" t="s">
        <v>806</v>
      </c>
      <c r="C27" s="109"/>
      <c r="D27" s="109"/>
      <c r="E27" s="109"/>
      <c r="F27" s="109"/>
    </row>
    <row r="28" spans="1:13" ht="42" customHeight="1" x14ac:dyDescent="0.2">
      <c r="A28" s="5"/>
      <c r="B28" s="109" t="s">
        <v>807</v>
      </c>
      <c r="C28" s="109"/>
      <c r="D28" s="109"/>
      <c r="E28" s="109"/>
      <c r="F28" s="109"/>
    </row>
    <row r="29" spans="1:13" ht="48" x14ac:dyDescent="0.2">
      <c r="A29" s="5"/>
      <c r="B29" s="110"/>
      <c r="C29" s="110"/>
      <c r="D29" s="111" t="s">
        <v>541</v>
      </c>
      <c r="E29" s="111" t="s">
        <v>282</v>
      </c>
      <c r="F29" s="111" t="s">
        <v>81</v>
      </c>
    </row>
    <row r="30" spans="1:13" x14ac:dyDescent="0.2">
      <c r="A30" s="5"/>
      <c r="B30" s="112" t="s">
        <v>542</v>
      </c>
      <c r="C30" s="112"/>
      <c r="D30" s="113">
        <v>36</v>
      </c>
      <c r="E30" s="113">
        <v>206</v>
      </c>
      <c r="F30" s="113">
        <v>215</v>
      </c>
    </row>
    <row r="31" spans="1:13" x14ac:dyDescent="0.2">
      <c r="A31" s="5"/>
      <c r="B31" s="114" t="s">
        <v>644</v>
      </c>
      <c r="C31" s="115"/>
      <c r="D31" s="113">
        <v>130</v>
      </c>
      <c r="E31" s="113">
        <v>687</v>
      </c>
      <c r="F31" s="113">
        <v>701</v>
      </c>
    </row>
    <row r="32" spans="1:13" x14ac:dyDescent="0.2">
      <c r="A32" s="5"/>
      <c r="B32" s="112" t="s">
        <v>0</v>
      </c>
      <c r="C32" s="112"/>
      <c r="D32" s="113">
        <v>545</v>
      </c>
      <c r="E32" s="113">
        <v>2721</v>
      </c>
      <c r="F32" s="113">
        <v>2812</v>
      </c>
    </row>
    <row r="33" spans="1:6" x14ac:dyDescent="0.2">
      <c r="A33" s="5"/>
      <c r="B33" s="116" t="s">
        <v>71</v>
      </c>
      <c r="C33" s="115"/>
      <c r="D33" s="113">
        <v>2448</v>
      </c>
      <c r="E33" s="113">
        <v>13322</v>
      </c>
      <c r="F33" s="113">
        <v>13582</v>
      </c>
    </row>
    <row r="34" spans="1:6" ht="15" customHeight="1" x14ac:dyDescent="0.2">
      <c r="A34" s="5"/>
      <c r="B34" s="112" t="s">
        <v>1</v>
      </c>
      <c r="C34" s="112"/>
      <c r="D34" s="113">
        <v>14</v>
      </c>
      <c r="E34" s="113">
        <v>95</v>
      </c>
      <c r="F34" s="113">
        <v>96</v>
      </c>
    </row>
    <row r="35" spans="1:6" x14ac:dyDescent="0.2">
      <c r="A35" s="5"/>
      <c r="B35" s="112" t="s">
        <v>2</v>
      </c>
      <c r="C35" s="112"/>
      <c r="D35" s="113">
        <v>59</v>
      </c>
      <c r="E35" s="113">
        <v>283</v>
      </c>
      <c r="F35" s="113">
        <v>294</v>
      </c>
    </row>
    <row r="36" spans="1:6" x14ac:dyDescent="0.2">
      <c r="A36" s="5"/>
      <c r="B36" s="117" t="s">
        <v>3</v>
      </c>
      <c r="C36" s="118"/>
      <c r="D36" s="113">
        <v>1</v>
      </c>
      <c r="E36" s="113">
        <v>7</v>
      </c>
      <c r="F36" s="113">
        <v>9</v>
      </c>
    </row>
    <row r="37" spans="1:6" x14ac:dyDescent="0.2">
      <c r="A37" s="5"/>
      <c r="B37" s="112" t="s">
        <v>4</v>
      </c>
      <c r="C37" s="112"/>
      <c r="D37" s="113">
        <v>107</v>
      </c>
      <c r="E37" s="113">
        <v>460</v>
      </c>
      <c r="F37" s="113">
        <v>469</v>
      </c>
    </row>
    <row r="38" spans="1:6" ht="13.5" thickBot="1" x14ac:dyDescent="0.25">
      <c r="A38" s="5"/>
      <c r="B38" s="119" t="s">
        <v>5</v>
      </c>
      <c r="C38" s="119"/>
      <c r="D38" s="120">
        <v>27</v>
      </c>
      <c r="E38" s="120">
        <v>123</v>
      </c>
      <c r="F38" s="120">
        <v>127</v>
      </c>
    </row>
    <row r="39" spans="1:6" ht="14.25" thickTop="1" thickBot="1" x14ac:dyDescent="0.25">
      <c r="A39" s="5"/>
      <c r="B39" s="121" t="s">
        <v>72</v>
      </c>
      <c r="C39" s="121"/>
      <c r="D39" s="122">
        <f>SUM(D30:D38)</f>
        <v>3367</v>
      </c>
      <c r="E39" s="122">
        <f>SUM(E30:E38)</f>
        <v>17904</v>
      </c>
      <c r="F39" s="122">
        <f>SUM(F30:F38)</f>
        <v>18305</v>
      </c>
    </row>
    <row r="40" spans="1:6" ht="3.6" customHeight="1" thickTop="1" x14ac:dyDescent="0.2"/>
    <row r="41" spans="1:6" ht="32.25" customHeight="1" x14ac:dyDescent="0.25">
      <c r="B41" s="123" t="s">
        <v>73</v>
      </c>
    </row>
    <row r="42" spans="1:6" x14ac:dyDescent="0.2">
      <c r="A42" s="5" t="s">
        <v>84</v>
      </c>
      <c r="B42" s="6" t="s">
        <v>973</v>
      </c>
      <c r="F42" s="100"/>
    </row>
    <row r="43" spans="1:6" x14ac:dyDescent="0.2">
      <c r="A43" s="5"/>
      <c r="B43" s="124" t="s">
        <v>74</v>
      </c>
      <c r="C43" s="125"/>
      <c r="D43" s="83"/>
      <c r="E43" s="83"/>
      <c r="F43" s="126"/>
    </row>
    <row r="44" spans="1:6" x14ac:dyDescent="0.2">
      <c r="A44" s="5"/>
      <c r="B44" s="124" t="s">
        <v>75</v>
      </c>
      <c r="C44" s="127"/>
      <c r="D44" s="83"/>
      <c r="E44" s="83"/>
      <c r="F44" s="126"/>
    </row>
    <row r="45" spans="1:6" x14ac:dyDescent="0.2">
      <c r="A45" s="5"/>
      <c r="B45" s="124" t="s">
        <v>76</v>
      </c>
      <c r="C45" s="128">
        <v>4213</v>
      </c>
      <c r="D45" s="83"/>
      <c r="E45" s="83"/>
      <c r="F45" s="126"/>
    </row>
    <row r="46" spans="1:6" x14ac:dyDescent="0.2">
      <c r="A46" s="5"/>
      <c r="B46" s="124" t="s">
        <v>474</v>
      </c>
      <c r="C46" s="128"/>
      <c r="D46" s="83"/>
      <c r="E46" s="83"/>
      <c r="F46" s="126"/>
    </row>
    <row r="47" spans="1:6" x14ac:dyDescent="0.2">
      <c r="A47" s="5"/>
      <c r="B47" s="124" t="s">
        <v>77</v>
      </c>
      <c r="C47" s="128">
        <v>1083</v>
      </c>
      <c r="D47" s="83"/>
      <c r="E47" s="83"/>
      <c r="F47" s="126"/>
    </row>
    <row r="48" spans="1:6" x14ac:dyDescent="0.2">
      <c r="A48" s="5"/>
      <c r="B48" s="124" t="s">
        <v>78</v>
      </c>
      <c r="C48" s="128"/>
      <c r="D48" s="83"/>
      <c r="E48" s="83"/>
      <c r="F48" s="126"/>
    </row>
    <row r="49" spans="1:15" x14ac:dyDescent="0.2">
      <c r="A49" s="5"/>
      <c r="B49" s="26" t="s">
        <v>943</v>
      </c>
      <c r="C49" s="128">
        <v>46</v>
      </c>
      <c r="D49" s="83"/>
      <c r="E49" s="83"/>
      <c r="F49" s="126"/>
    </row>
    <row r="50" spans="1:15" x14ac:dyDescent="0.2">
      <c r="A50" s="5"/>
      <c r="B50" s="129" t="s">
        <v>369</v>
      </c>
      <c r="C50" s="128">
        <v>173</v>
      </c>
      <c r="D50" s="83"/>
      <c r="E50" s="83"/>
      <c r="F50" s="126"/>
    </row>
    <row r="51" spans="1:15" x14ac:dyDescent="0.2">
      <c r="A51" s="5"/>
      <c r="B51" s="129" t="s">
        <v>370</v>
      </c>
      <c r="C51" s="128">
        <v>94</v>
      </c>
      <c r="D51" s="83"/>
      <c r="E51" s="83"/>
      <c r="F51" s="126"/>
    </row>
    <row r="52" spans="1:15" x14ac:dyDescent="0.2">
      <c r="A52" s="5"/>
      <c r="B52" s="124" t="s">
        <v>371</v>
      </c>
      <c r="C52" s="130"/>
      <c r="D52" s="83"/>
      <c r="E52" s="72">
        <f>SUM(C45:C51)</f>
        <v>5609</v>
      </c>
      <c r="F52" s="126"/>
    </row>
    <row r="53" spans="1:15" ht="18.75" customHeight="1" x14ac:dyDescent="0.2">
      <c r="C53" s="72">
        <f>SUM(C45:C51)</f>
        <v>5609</v>
      </c>
    </row>
    <row r="54" spans="1:15" ht="409.5" hidden="1" customHeight="1" x14ac:dyDescent="0.2">
      <c r="B54" s="131"/>
      <c r="C54" s="132"/>
      <c r="D54" s="132"/>
      <c r="E54" s="132"/>
      <c r="F54" s="132"/>
    </row>
    <row r="55" spans="1:15" ht="32.1" customHeight="1" x14ac:dyDescent="0.25">
      <c r="B55" s="133" t="s">
        <v>79</v>
      </c>
      <c r="C55" s="132"/>
      <c r="D55" s="132"/>
      <c r="E55" s="132"/>
      <c r="F55" s="132"/>
    </row>
    <row r="56" spans="1:15" ht="42" customHeight="1" x14ac:dyDescent="0.2">
      <c r="B56" s="109" t="s">
        <v>929</v>
      </c>
      <c r="C56" s="108"/>
      <c r="D56" s="108"/>
      <c r="E56" s="108"/>
      <c r="F56" s="108"/>
    </row>
    <row r="57" spans="1:15" ht="15.75" customHeight="1" x14ac:dyDescent="0.2">
      <c r="B57" s="132"/>
      <c r="C57" s="132"/>
      <c r="D57" s="132"/>
      <c r="E57" s="132"/>
      <c r="F57" s="132"/>
    </row>
    <row r="58" spans="1:15" ht="15" x14ac:dyDescent="0.2">
      <c r="B58" s="134" t="s">
        <v>659</v>
      </c>
      <c r="C58" s="134"/>
      <c r="D58" s="132"/>
      <c r="E58" s="132"/>
      <c r="F58" s="132"/>
    </row>
    <row r="59" spans="1:15" s="136" customFormat="1" ht="12.6" customHeight="1" x14ac:dyDescent="0.2">
      <c r="A59" s="3"/>
      <c r="B59" s="109" t="s">
        <v>989</v>
      </c>
      <c r="C59" s="109"/>
      <c r="D59" s="109"/>
      <c r="E59" s="109"/>
      <c r="F59" s="109"/>
      <c r="G59" s="135"/>
      <c r="H59" s="135"/>
      <c r="I59" s="135"/>
      <c r="J59" s="135"/>
      <c r="K59" s="135"/>
      <c r="L59" s="135"/>
      <c r="M59" s="135"/>
      <c r="N59" s="135"/>
      <c r="O59" s="135"/>
    </row>
    <row r="60" spans="1:15" s="136" customFormat="1" ht="12.6" customHeight="1" x14ac:dyDescent="0.2">
      <c r="A60" s="3"/>
      <c r="B60" s="109" t="s">
        <v>810</v>
      </c>
      <c r="C60" s="109"/>
      <c r="D60" s="109"/>
      <c r="E60" s="109"/>
      <c r="F60" s="109"/>
      <c r="G60" s="135"/>
      <c r="H60" s="135"/>
      <c r="I60" s="135"/>
      <c r="J60" s="135"/>
      <c r="K60" s="135"/>
      <c r="L60" s="135"/>
      <c r="M60" s="135"/>
      <c r="N60" s="135"/>
      <c r="O60" s="135"/>
    </row>
    <row r="61" spans="1:15" s="136" customFormat="1" x14ac:dyDescent="0.2">
      <c r="A61" s="3"/>
      <c r="B61" s="109" t="s">
        <v>811</v>
      </c>
      <c r="C61" s="109"/>
      <c r="D61" s="109"/>
      <c r="E61" s="109"/>
      <c r="F61" s="109"/>
      <c r="G61" s="135"/>
      <c r="H61" s="135"/>
      <c r="I61" s="135"/>
      <c r="J61" s="135"/>
      <c r="K61" s="135"/>
      <c r="L61" s="135"/>
      <c r="M61" s="135"/>
      <c r="N61" s="135"/>
      <c r="O61" s="135"/>
    </row>
    <row r="62" spans="1:15" s="136" customFormat="1" x14ac:dyDescent="0.2">
      <c r="A62" s="3"/>
      <c r="B62" s="109" t="s">
        <v>812</v>
      </c>
      <c r="C62" s="109"/>
      <c r="D62" s="109"/>
      <c r="E62" s="109"/>
      <c r="F62" s="109"/>
      <c r="G62" s="135"/>
      <c r="H62" s="135"/>
      <c r="I62" s="135"/>
      <c r="J62" s="135"/>
      <c r="K62" s="135"/>
      <c r="L62" s="135"/>
      <c r="M62" s="135"/>
      <c r="N62" s="135"/>
      <c r="O62" s="135"/>
    </row>
    <row r="63" spans="1:15" s="136" customFormat="1" x14ac:dyDescent="0.2">
      <c r="A63" s="3"/>
      <c r="B63" s="109" t="s">
        <v>813</v>
      </c>
      <c r="C63" s="109"/>
      <c r="D63" s="109"/>
      <c r="E63" s="109"/>
      <c r="F63" s="109"/>
      <c r="G63" s="135"/>
      <c r="H63" s="135"/>
      <c r="I63" s="135"/>
      <c r="J63" s="135"/>
      <c r="K63" s="135"/>
      <c r="L63" s="135"/>
      <c r="M63" s="135"/>
      <c r="N63" s="135"/>
      <c r="O63" s="135"/>
    </row>
    <row r="64" spans="1:15" s="136" customFormat="1" ht="24.6" customHeight="1" x14ac:dyDescent="0.2">
      <c r="A64" s="3"/>
      <c r="B64" s="109" t="s">
        <v>814</v>
      </c>
      <c r="C64" s="109"/>
      <c r="D64" s="109"/>
      <c r="E64" s="109"/>
      <c r="F64" s="109"/>
      <c r="G64" s="135"/>
      <c r="H64" s="135"/>
      <c r="I64" s="135"/>
      <c r="J64" s="135"/>
      <c r="K64" s="135"/>
      <c r="L64" s="135"/>
      <c r="M64" s="135"/>
      <c r="N64" s="135"/>
      <c r="O64" s="135"/>
    </row>
    <row r="65" spans="1:15" s="136" customFormat="1" x14ac:dyDescent="0.2">
      <c r="A65" s="3"/>
      <c r="B65" s="109" t="s">
        <v>815</v>
      </c>
      <c r="C65" s="109"/>
      <c r="D65" s="109"/>
      <c r="E65" s="109"/>
      <c r="F65" s="109"/>
      <c r="G65" s="135"/>
      <c r="H65" s="135"/>
      <c r="I65" s="135"/>
      <c r="J65" s="135"/>
      <c r="K65" s="135"/>
      <c r="L65" s="135"/>
      <c r="M65" s="135"/>
      <c r="N65" s="135"/>
      <c r="O65" s="135"/>
    </row>
    <row r="66" spans="1:15" x14ac:dyDescent="0.2">
      <c r="B66" s="132"/>
      <c r="C66" s="132"/>
      <c r="D66" s="132"/>
      <c r="E66" s="132"/>
      <c r="F66" s="132"/>
    </row>
    <row r="67" spans="1:15" s="139" customFormat="1" ht="15" x14ac:dyDescent="0.2">
      <c r="A67" s="3"/>
      <c r="B67" s="137" t="s">
        <v>981</v>
      </c>
      <c r="C67" s="134"/>
      <c r="D67" s="134"/>
      <c r="E67" s="134"/>
      <c r="F67" s="134"/>
      <c r="G67" s="138"/>
      <c r="H67" s="138"/>
      <c r="I67" s="138"/>
      <c r="J67" s="138"/>
      <c r="K67" s="138"/>
      <c r="L67" s="138"/>
      <c r="M67" s="138"/>
      <c r="N67" s="138"/>
      <c r="O67" s="138"/>
    </row>
    <row r="68" spans="1:15" s="139" customFormat="1" x14ac:dyDescent="0.2">
      <c r="A68" s="3"/>
      <c r="B68" s="140"/>
      <c r="C68" s="141" t="s">
        <v>660</v>
      </c>
      <c r="D68" s="141" t="s">
        <v>663</v>
      </c>
      <c r="E68" s="141" t="s">
        <v>661</v>
      </c>
      <c r="F68" s="141" t="s">
        <v>734</v>
      </c>
      <c r="G68" s="138"/>
      <c r="H68" s="138"/>
      <c r="I68" s="138"/>
      <c r="J68" s="138"/>
      <c r="K68" s="138"/>
      <c r="L68" s="138"/>
      <c r="M68" s="138"/>
      <c r="N68" s="138"/>
      <c r="O68" s="138"/>
    </row>
    <row r="69" spans="1:15" s="139" customFormat="1" ht="63" customHeight="1" x14ac:dyDescent="0.2">
      <c r="A69" s="3"/>
      <c r="B69" s="140"/>
      <c r="C69" s="141"/>
      <c r="D69" s="141"/>
      <c r="E69" s="141"/>
      <c r="F69" s="141"/>
      <c r="G69" s="138"/>
      <c r="H69" s="138"/>
      <c r="I69" s="138"/>
      <c r="J69" s="138"/>
      <c r="K69" s="138"/>
      <c r="L69" s="138"/>
      <c r="M69" s="138"/>
      <c r="N69" s="138"/>
      <c r="O69" s="138"/>
    </row>
    <row r="70" spans="1:15" s="139" customFormat="1" ht="33.75" x14ac:dyDescent="0.2">
      <c r="A70" s="142" t="s">
        <v>737</v>
      </c>
      <c r="B70" s="143" t="s">
        <v>982</v>
      </c>
      <c r="C70" s="144">
        <v>1180</v>
      </c>
      <c r="D70" s="144">
        <v>535</v>
      </c>
      <c r="E70" s="144">
        <v>1902</v>
      </c>
      <c r="F70" s="145">
        <f t="shared" ref="F70:F75" si="6">SUM(C70:E70)</f>
        <v>3617</v>
      </c>
      <c r="G70" s="138"/>
      <c r="H70" s="138"/>
      <c r="I70" s="138"/>
      <c r="J70" s="138"/>
      <c r="K70" s="138"/>
      <c r="L70" s="138"/>
      <c r="M70" s="138"/>
      <c r="N70" s="138"/>
      <c r="O70" s="138"/>
    </row>
    <row r="71" spans="1:15" s="139" customFormat="1" ht="87.75" customHeight="1" x14ac:dyDescent="0.2">
      <c r="A71" s="142" t="s">
        <v>738</v>
      </c>
      <c r="B71" s="146" t="s">
        <v>983</v>
      </c>
      <c r="C71" s="144">
        <v>1</v>
      </c>
      <c r="D71" s="144">
        <v>0</v>
      </c>
      <c r="E71" s="144">
        <v>1</v>
      </c>
      <c r="F71" s="145">
        <f t="shared" si="6"/>
        <v>2</v>
      </c>
      <c r="G71" s="138"/>
      <c r="H71" s="138"/>
      <c r="I71" s="138"/>
      <c r="J71" s="138"/>
      <c r="K71" s="138"/>
      <c r="L71" s="138"/>
      <c r="M71" s="138"/>
      <c r="N71" s="138"/>
      <c r="O71" s="138"/>
    </row>
    <row r="72" spans="1:15" s="139" customFormat="1" ht="22.5" x14ac:dyDescent="0.2">
      <c r="A72" s="142" t="s">
        <v>739</v>
      </c>
      <c r="B72" s="143" t="s">
        <v>984</v>
      </c>
      <c r="C72" s="145">
        <f>C70-C71</f>
        <v>1179</v>
      </c>
      <c r="D72" s="145">
        <f>D70-D71</f>
        <v>535</v>
      </c>
      <c r="E72" s="145">
        <f>E70-E71</f>
        <v>1901</v>
      </c>
      <c r="F72" s="145">
        <f t="shared" si="6"/>
        <v>3615</v>
      </c>
      <c r="G72" s="138"/>
      <c r="H72" s="138"/>
      <c r="I72" s="138"/>
      <c r="J72" s="138"/>
      <c r="K72" s="138"/>
      <c r="L72" s="138"/>
      <c r="M72" s="138"/>
      <c r="N72" s="138"/>
      <c r="O72" s="138"/>
    </row>
    <row r="73" spans="1:15" s="139" customFormat="1" ht="33.75" x14ac:dyDescent="0.2">
      <c r="A73" s="142" t="s">
        <v>740</v>
      </c>
      <c r="B73" s="143" t="s">
        <v>985</v>
      </c>
      <c r="C73" s="144">
        <v>312</v>
      </c>
      <c r="D73" s="144">
        <v>217</v>
      </c>
      <c r="E73" s="144">
        <v>957</v>
      </c>
      <c r="F73" s="145">
        <f t="shared" si="6"/>
        <v>1486</v>
      </c>
      <c r="G73" s="138"/>
      <c r="H73" s="138"/>
      <c r="I73" s="138"/>
      <c r="J73" s="138"/>
      <c r="K73" s="138"/>
      <c r="L73" s="138"/>
      <c r="M73" s="138"/>
      <c r="N73" s="138"/>
      <c r="O73" s="138"/>
    </row>
    <row r="74" spans="1:15" s="139" customFormat="1" ht="45" x14ac:dyDescent="0.2">
      <c r="A74" s="142" t="s">
        <v>741</v>
      </c>
      <c r="B74" s="143" t="s">
        <v>986</v>
      </c>
      <c r="C74" s="144">
        <v>189</v>
      </c>
      <c r="D74" s="144">
        <v>98</v>
      </c>
      <c r="E74" s="144">
        <v>385</v>
      </c>
      <c r="F74" s="145">
        <f t="shared" si="6"/>
        <v>672</v>
      </c>
      <c r="G74" s="138"/>
      <c r="H74" s="138"/>
      <c r="I74" s="138"/>
      <c r="J74" s="138"/>
      <c r="K74" s="138"/>
      <c r="L74" s="138"/>
      <c r="M74" s="138"/>
      <c r="N74" s="138"/>
      <c r="O74" s="138"/>
    </row>
    <row r="75" spans="1:15" s="139" customFormat="1" ht="45" x14ac:dyDescent="0.2">
      <c r="A75" s="142" t="s">
        <v>742</v>
      </c>
      <c r="B75" s="143" t="s">
        <v>987</v>
      </c>
      <c r="C75" s="144">
        <v>52</v>
      </c>
      <c r="D75" s="144">
        <v>15</v>
      </c>
      <c r="E75" s="144">
        <v>56</v>
      </c>
      <c r="F75" s="145">
        <f t="shared" si="6"/>
        <v>123</v>
      </c>
      <c r="G75" s="138"/>
      <c r="H75" s="138"/>
      <c r="I75" s="138"/>
      <c r="J75" s="138"/>
      <c r="K75" s="138"/>
      <c r="L75" s="138"/>
      <c r="M75" s="138"/>
      <c r="N75" s="138"/>
      <c r="O75" s="138"/>
    </row>
    <row r="76" spans="1:15" s="139" customFormat="1" ht="25.5" x14ac:dyDescent="0.2">
      <c r="A76" s="142" t="s">
        <v>743</v>
      </c>
      <c r="B76" s="147" t="s">
        <v>664</v>
      </c>
      <c r="C76" s="145">
        <f>SUM(C73:C75)</f>
        <v>553</v>
      </c>
      <c r="D76" s="145">
        <f>SUM(D73:D75)</f>
        <v>330</v>
      </c>
      <c r="E76" s="145">
        <f>SUM(E73:E75)</f>
        <v>1398</v>
      </c>
      <c r="F76" s="145">
        <f>SUM(C76:E76)</f>
        <v>2281</v>
      </c>
      <c r="G76" s="138"/>
      <c r="H76" s="138"/>
      <c r="I76" s="138"/>
      <c r="J76" s="138"/>
      <c r="K76" s="138"/>
      <c r="L76" s="138"/>
      <c r="M76" s="138"/>
      <c r="N76" s="138"/>
      <c r="O76" s="138"/>
    </row>
    <row r="77" spans="1:15" s="139" customFormat="1" ht="25.5" x14ac:dyDescent="0.2">
      <c r="A77" s="142" t="s">
        <v>744</v>
      </c>
      <c r="B77" s="147" t="s">
        <v>988</v>
      </c>
      <c r="C77" s="148">
        <f>C76/C72</f>
        <v>0.46904156064461405</v>
      </c>
      <c r="D77" s="148">
        <f>D76/D72</f>
        <v>0.61682242990654201</v>
      </c>
      <c r="E77" s="148">
        <f>E76/E72</f>
        <v>0.73540241977906362</v>
      </c>
      <c r="F77" s="148">
        <f>F76/F72</f>
        <v>0.63098201936376208</v>
      </c>
      <c r="G77" s="138"/>
      <c r="H77" s="138"/>
      <c r="I77" s="138"/>
      <c r="J77" s="138"/>
      <c r="K77" s="138"/>
      <c r="L77" s="138"/>
      <c r="M77" s="138"/>
      <c r="N77" s="138"/>
      <c r="O77" s="138"/>
    </row>
    <row r="78" spans="1:15" s="124" customFormat="1" ht="22.5" customHeight="1" x14ac:dyDescent="0.2">
      <c r="A78" s="5"/>
      <c r="B78" s="7"/>
      <c r="C78" s="7"/>
      <c r="D78" s="7"/>
      <c r="E78" s="7"/>
      <c r="F78" s="149"/>
      <c r="G78" s="72"/>
      <c r="H78" s="72"/>
      <c r="I78" s="72"/>
      <c r="J78" s="72"/>
      <c r="K78" s="72"/>
      <c r="L78" s="72"/>
      <c r="M78" s="72"/>
      <c r="N78" s="72"/>
      <c r="O78" s="72"/>
    </row>
    <row r="79" spans="1:15" s="139" customFormat="1" ht="15" hidden="1" x14ac:dyDescent="0.2">
      <c r="A79" s="3"/>
      <c r="B79" s="137" t="s">
        <v>931</v>
      </c>
      <c r="C79" s="134"/>
      <c r="D79" s="134"/>
      <c r="E79" s="134"/>
      <c r="F79" s="134"/>
      <c r="G79" s="138"/>
      <c r="H79" s="138"/>
      <c r="I79" s="138"/>
      <c r="J79" s="138"/>
      <c r="K79" s="138"/>
      <c r="L79" s="138"/>
      <c r="M79" s="138"/>
      <c r="N79" s="138"/>
      <c r="O79" s="138"/>
    </row>
    <row r="80" spans="1:15" s="139" customFormat="1" hidden="1" x14ac:dyDescent="0.2">
      <c r="A80" s="3"/>
      <c r="B80" s="150"/>
      <c r="C80" s="151" t="s">
        <v>660</v>
      </c>
      <c r="D80" s="151" t="s">
        <v>663</v>
      </c>
      <c r="E80" s="151" t="s">
        <v>661</v>
      </c>
      <c r="F80" s="151" t="s">
        <v>734</v>
      </c>
      <c r="G80" s="138"/>
      <c r="H80" s="138"/>
      <c r="I80" s="138"/>
      <c r="J80" s="138"/>
      <c r="K80" s="138"/>
      <c r="L80" s="138"/>
      <c r="M80" s="138"/>
      <c r="N80" s="138"/>
      <c r="O80" s="138"/>
    </row>
    <row r="81" spans="1:15" s="139" customFormat="1" ht="48.75" hidden="1" customHeight="1" x14ac:dyDescent="0.2">
      <c r="A81" s="3"/>
      <c r="B81" s="150"/>
      <c r="C81" s="151"/>
      <c r="D81" s="151"/>
      <c r="E81" s="151"/>
      <c r="F81" s="151"/>
      <c r="G81" s="138"/>
      <c r="H81" s="138"/>
      <c r="I81" s="138"/>
      <c r="J81" s="138"/>
      <c r="K81" s="138"/>
      <c r="L81" s="138"/>
      <c r="M81" s="138"/>
      <c r="N81" s="138"/>
      <c r="O81" s="138"/>
    </row>
    <row r="82" spans="1:15" s="139" customFormat="1" ht="42.75" hidden="1" customHeight="1" x14ac:dyDescent="0.2">
      <c r="A82" s="142" t="s">
        <v>737</v>
      </c>
      <c r="B82" s="147" t="s">
        <v>932</v>
      </c>
      <c r="C82" s="144">
        <v>1161</v>
      </c>
      <c r="D82" s="144">
        <v>475</v>
      </c>
      <c r="E82" s="144">
        <v>1823</v>
      </c>
      <c r="F82" s="145">
        <f t="shared" ref="F82:F87" si="7">SUM(C82:E82)</f>
        <v>3459</v>
      </c>
      <c r="G82" s="138"/>
      <c r="H82" s="138"/>
      <c r="I82" s="138"/>
      <c r="J82" s="138"/>
      <c r="K82" s="138"/>
      <c r="L82" s="138"/>
      <c r="M82" s="138"/>
      <c r="N82" s="138"/>
      <c r="O82" s="138"/>
    </row>
    <row r="83" spans="1:15" s="139" customFormat="1" ht="56.25" hidden="1" customHeight="1" x14ac:dyDescent="0.2">
      <c r="A83" s="142" t="s">
        <v>738</v>
      </c>
      <c r="B83" s="152" t="s">
        <v>933</v>
      </c>
      <c r="C83" s="144">
        <v>2</v>
      </c>
      <c r="D83" s="144">
        <v>0</v>
      </c>
      <c r="E83" s="144">
        <v>3</v>
      </c>
      <c r="F83" s="145">
        <f t="shared" si="7"/>
        <v>5</v>
      </c>
      <c r="G83" s="138"/>
      <c r="H83" s="138"/>
      <c r="I83" s="138"/>
      <c r="J83" s="138"/>
      <c r="K83" s="138"/>
      <c r="L83" s="138"/>
      <c r="M83" s="138"/>
      <c r="N83" s="138"/>
      <c r="O83" s="138"/>
    </row>
    <row r="84" spans="1:15" s="139" customFormat="1" ht="34.5" hidden="1" customHeight="1" x14ac:dyDescent="0.2">
      <c r="A84" s="142" t="s">
        <v>739</v>
      </c>
      <c r="B84" s="147" t="s">
        <v>934</v>
      </c>
      <c r="C84" s="145">
        <f>C82-C83</f>
        <v>1159</v>
      </c>
      <c r="D84" s="145">
        <f>D82-D83</f>
        <v>475</v>
      </c>
      <c r="E84" s="145">
        <f>E82-E83</f>
        <v>1820</v>
      </c>
      <c r="F84" s="145">
        <f t="shared" si="7"/>
        <v>3454</v>
      </c>
      <c r="G84" s="138"/>
      <c r="H84" s="138"/>
      <c r="I84" s="138"/>
      <c r="J84" s="138"/>
      <c r="K84" s="138"/>
      <c r="L84" s="138"/>
      <c r="M84" s="138"/>
      <c r="N84" s="138"/>
      <c r="O84" s="138"/>
    </row>
    <row r="85" spans="1:15" s="139" customFormat="1" ht="45" hidden="1" customHeight="1" x14ac:dyDescent="0.2">
      <c r="A85" s="142" t="s">
        <v>740</v>
      </c>
      <c r="B85" s="147" t="s">
        <v>935</v>
      </c>
      <c r="C85" s="144">
        <v>282</v>
      </c>
      <c r="D85" s="144">
        <v>169</v>
      </c>
      <c r="E85" s="144">
        <v>802</v>
      </c>
      <c r="F85" s="145">
        <f t="shared" si="7"/>
        <v>1253</v>
      </c>
      <c r="G85" s="138"/>
      <c r="H85" s="138"/>
      <c r="I85" s="138"/>
      <c r="J85" s="138"/>
      <c r="K85" s="138"/>
      <c r="L85" s="138"/>
      <c r="M85" s="138"/>
      <c r="N85" s="138"/>
      <c r="O85" s="138"/>
    </row>
    <row r="86" spans="1:15" s="139" customFormat="1" ht="45" hidden="1" x14ac:dyDescent="0.2">
      <c r="A86" s="142" t="s">
        <v>741</v>
      </c>
      <c r="B86" s="147" t="s">
        <v>936</v>
      </c>
      <c r="C86" s="144">
        <v>208</v>
      </c>
      <c r="D86" s="144">
        <v>87</v>
      </c>
      <c r="E86" s="144">
        <v>383</v>
      </c>
      <c r="F86" s="145">
        <f t="shared" si="7"/>
        <v>678</v>
      </c>
      <c r="G86" s="138"/>
      <c r="H86" s="138"/>
      <c r="I86" s="138"/>
      <c r="J86" s="138"/>
      <c r="K86" s="138"/>
      <c r="L86" s="138"/>
      <c r="M86" s="138"/>
      <c r="N86" s="138"/>
      <c r="O86" s="138"/>
    </row>
    <row r="87" spans="1:15" s="139" customFormat="1" ht="45" hidden="1" x14ac:dyDescent="0.2">
      <c r="A87" s="142" t="s">
        <v>742</v>
      </c>
      <c r="B87" s="147" t="s">
        <v>937</v>
      </c>
      <c r="C87" s="144">
        <v>51</v>
      </c>
      <c r="D87" s="144">
        <v>13</v>
      </c>
      <c r="E87" s="144">
        <v>63</v>
      </c>
      <c r="F87" s="145">
        <f t="shared" si="7"/>
        <v>127</v>
      </c>
      <c r="G87" s="138"/>
      <c r="H87" s="138"/>
      <c r="I87" s="138"/>
      <c r="J87" s="138"/>
      <c r="K87" s="138"/>
      <c r="L87" s="138"/>
      <c r="M87" s="138"/>
      <c r="N87" s="138"/>
      <c r="O87" s="138"/>
    </row>
    <row r="88" spans="1:15" s="139" customFormat="1" ht="36.75" hidden="1" customHeight="1" x14ac:dyDescent="0.2">
      <c r="A88" s="142" t="s">
        <v>743</v>
      </c>
      <c r="B88" s="147" t="s">
        <v>664</v>
      </c>
      <c r="C88" s="145">
        <v>543</v>
      </c>
      <c r="D88" s="145">
        <f>SUM(D85:D87)</f>
        <v>269</v>
      </c>
      <c r="E88" s="145">
        <v>1251</v>
      </c>
      <c r="F88" s="145">
        <f>SUM(C88:E88)</f>
        <v>2063</v>
      </c>
      <c r="G88" s="138"/>
      <c r="H88" s="138"/>
      <c r="I88" s="138"/>
      <c r="J88" s="138"/>
      <c r="K88" s="138"/>
      <c r="L88" s="138"/>
      <c r="M88" s="138"/>
      <c r="N88" s="138"/>
      <c r="O88" s="138"/>
    </row>
    <row r="89" spans="1:15" s="139" customFormat="1" ht="38.25" hidden="1" customHeight="1" x14ac:dyDescent="0.2">
      <c r="A89" s="142" t="s">
        <v>744</v>
      </c>
      <c r="B89" s="147" t="s">
        <v>938</v>
      </c>
      <c r="C89" s="153">
        <f>C88/C84</f>
        <v>0.46850733390854182</v>
      </c>
      <c r="D89" s="153">
        <f>D88/D84</f>
        <v>0.56631578947368422</v>
      </c>
      <c r="E89" s="153">
        <f>E88/E84</f>
        <v>0.68736263736263736</v>
      </c>
      <c r="F89" s="153">
        <f>F88/F84</f>
        <v>0.59727851766068329</v>
      </c>
      <c r="G89" s="138"/>
      <c r="H89" s="138"/>
      <c r="I89" s="138"/>
      <c r="J89" s="138"/>
      <c r="K89" s="138"/>
      <c r="L89" s="138"/>
      <c r="M89" s="138"/>
      <c r="N89" s="138"/>
      <c r="O89" s="138"/>
    </row>
    <row r="90" spans="1:15" s="124" customFormat="1" hidden="1" x14ac:dyDescent="0.2">
      <c r="A90" s="5"/>
      <c r="B90" s="7"/>
      <c r="C90" s="7"/>
      <c r="D90" s="7"/>
      <c r="E90" s="7"/>
      <c r="F90" s="149"/>
      <c r="G90" s="72"/>
      <c r="H90" s="72"/>
      <c r="I90" s="72"/>
      <c r="J90" s="72"/>
      <c r="K90" s="72"/>
      <c r="L90" s="72"/>
      <c r="M90" s="72"/>
      <c r="N90" s="72"/>
      <c r="O90" s="72"/>
    </row>
    <row r="91" spans="1:15" ht="32.25" customHeight="1" x14ac:dyDescent="0.25">
      <c r="B91" s="123" t="s">
        <v>80</v>
      </c>
    </row>
    <row r="92" spans="1:15" ht="52.5" customHeight="1" x14ac:dyDescent="0.2">
      <c r="B92" s="28" t="s">
        <v>977</v>
      </c>
      <c r="C92" s="4"/>
      <c r="D92" s="4"/>
      <c r="E92" s="4"/>
      <c r="F92" s="4"/>
    </row>
    <row r="93" spans="1:15" ht="52.5" customHeight="1" x14ac:dyDescent="0.2">
      <c r="A93" s="5" t="s">
        <v>753</v>
      </c>
      <c r="B93" s="154" t="s">
        <v>976</v>
      </c>
      <c r="C93" s="52"/>
      <c r="D93" s="52"/>
      <c r="E93" s="52"/>
      <c r="F93" s="155">
        <v>0.80500000000000005</v>
      </c>
      <c r="H93" s="72">
        <f>2716/3372</f>
        <v>0.80545670225385524</v>
      </c>
    </row>
    <row r="94" spans="1:15" x14ac:dyDescent="0.2">
      <c r="A94" s="5"/>
      <c r="F94" s="156"/>
    </row>
    <row r="95" spans="1:15" x14ac:dyDescent="0.2">
      <c r="B95" s="139"/>
      <c r="C95" s="139"/>
      <c r="D95" s="139"/>
      <c r="E95" s="139"/>
      <c r="F95" s="139"/>
    </row>
    <row r="96" spans="1:15" ht="32.25" hidden="1" customHeight="1" x14ac:dyDescent="0.2">
      <c r="B96" s="137" t="s">
        <v>758</v>
      </c>
      <c r="C96" s="134"/>
      <c r="D96" s="134"/>
      <c r="E96" s="134"/>
      <c r="F96" s="134"/>
    </row>
    <row r="97" spans="1:15" ht="32.25" hidden="1" customHeight="1" x14ac:dyDescent="0.2">
      <c r="B97" s="150"/>
      <c r="C97" s="151" t="s">
        <v>660</v>
      </c>
      <c r="D97" s="151" t="s">
        <v>663</v>
      </c>
      <c r="E97" s="151" t="s">
        <v>661</v>
      </c>
      <c r="F97" s="151" t="s">
        <v>662</v>
      </c>
    </row>
    <row r="98" spans="1:15" ht="32.25" hidden="1" customHeight="1" x14ac:dyDescent="0.2">
      <c r="B98" s="150"/>
      <c r="C98" s="151"/>
      <c r="D98" s="151"/>
      <c r="E98" s="151"/>
      <c r="F98" s="151"/>
    </row>
    <row r="99" spans="1:15" ht="54.75" hidden="1" customHeight="1" x14ac:dyDescent="0.2">
      <c r="A99" s="142" t="s">
        <v>745</v>
      </c>
      <c r="B99" s="157" t="s">
        <v>759</v>
      </c>
      <c r="C99" s="144"/>
      <c r="D99" s="144"/>
      <c r="E99" s="144"/>
      <c r="F99" s="145">
        <f t="shared" ref="F99:F104" si="8">SUM(C99:E99)</f>
        <v>0</v>
      </c>
    </row>
    <row r="100" spans="1:15" s="139" customFormat="1" ht="54" hidden="1" customHeight="1" x14ac:dyDescent="0.2">
      <c r="A100" s="142" t="s">
        <v>746</v>
      </c>
      <c r="B100" s="158" t="s">
        <v>760</v>
      </c>
      <c r="C100" s="144"/>
      <c r="D100" s="144"/>
      <c r="E100" s="144"/>
      <c r="F100" s="145">
        <f t="shared" si="8"/>
        <v>0</v>
      </c>
      <c r="G100" s="138"/>
      <c r="H100" s="138"/>
      <c r="I100" s="138"/>
      <c r="J100" s="138"/>
      <c r="K100" s="138"/>
      <c r="L100" s="138"/>
      <c r="M100" s="138"/>
      <c r="N100" s="138"/>
      <c r="O100" s="138"/>
    </row>
    <row r="101" spans="1:15" s="139" customFormat="1" ht="54.75" hidden="1" customHeight="1" x14ac:dyDescent="0.2">
      <c r="A101" s="142" t="s">
        <v>747</v>
      </c>
      <c r="B101" s="157" t="s">
        <v>761</v>
      </c>
      <c r="C101" s="159">
        <f>C99-C100</f>
        <v>0</v>
      </c>
      <c r="D101" s="159">
        <f>D99-D100</f>
        <v>0</v>
      </c>
      <c r="E101" s="159">
        <f>E99-E100</f>
        <v>0</v>
      </c>
      <c r="F101" s="145">
        <f t="shared" si="8"/>
        <v>0</v>
      </c>
      <c r="G101" s="138"/>
      <c r="H101" s="138"/>
      <c r="I101" s="138"/>
      <c r="J101" s="138"/>
      <c r="K101" s="138"/>
      <c r="L101" s="138"/>
      <c r="M101" s="138"/>
      <c r="N101" s="138"/>
      <c r="O101" s="138"/>
    </row>
    <row r="102" spans="1:15" ht="54.75" hidden="1" customHeight="1" x14ac:dyDescent="0.2">
      <c r="A102" s="142" t="s">
        <v>748</v>
      </c>
      <c r="B102" s="157" t="s">
        <v>763</v>
      </c>
      <c r="C102" s="144"/>
      <c r="D102" s="144"/>
      <c r="E102" s="144"/>
      <c r="F102" s="145">
        <f t="shared" si="8"/>
        <v>0</v>
      </c>
    </row>
    <row r="103" spans="1:15" ht="54.75" hidden="1" customHeight="1" x14ac:dyDescent="0.2">
      <c r="A103" s="142" t="s">
        <v>749</v>
      </c>
      <c r="B103" s="157" t="s">
        <v>764</v>
      </c>
      <c r="C103" s="144"/>
      <c r="D103" s="144"/>
      <c r="E103" s="144"/>
      <c r="F103" s="145">
        <f t="shared" si="8"/>
        <v>0</v>
      </c>
    </row>
    <row r="104" spans="1:15" ht="54.75" hidden="1" customHeight="1" x14ac:dyDescent="0.2">
      <c r="A104" s="142" t="s">
        <v>750</v>
      </c>
      <c r="B104" s="147" t="s">
        <v>930</v>
      </c>
      <c r="C104" s="144"/>
      <c r="D104" s="144"/>
      <c r="E104" s="144"/>
      <c r="F104" s="145">
        <f t="shared" si="8"/>
        <v>0</v>
      </c>
    </row>
    <row r="105" spans="1:15" ht="54.75" hidden="1" customHeight="1" x14ac:dyDescent="0.2">
      <c r="A105" s="142" t="s">
        <v>751</v>
      </c>
      <c r="B105" s="147" t="s">
        <v>664</v>
      </c>
      <c r="C105" s="159"/>
      <c r="D105" s="159"/>
      <c r="E105" s="159"/>
      <c r="F105" s="145">
        <f>SUM(C105:E105)</f>
        <v>0</v>
      </c>
    </row>
    <row r="106" spans="1:15" ht="54.75" hidden="1" customHeight="1" x14ac:dyDescent="0.2">
      <c r="A106" s="142" t="s">
        <v>752</v>
      </c>
      <c r="B106" s="147" t="s">
        <v>762</v>
      </c>
      <c r="C106" s="148" t="e">
        <f>C105/C101</f>
        <v>#DIV/0!</v>
      </c>
      <c r="D106" s="148" t="e">
        <f>D105/D101</f>
        <v>#DIV/0!</v>
      </c>
      <c r="E106" s="148" t="e">
        <f>E105/E101</f>
        <v>#DIV/0!</v>
      </c>
      <c r="F106" s="148" t="e">
        <f>F105/F101</f>
        <v>#DIV/0!</v>
      </c>
    </row>
    <row r="107" spans="1:15" ht="32.25" customHeight="1" x14ac:dyDescent="0.2">
      <c r="A107" s="142"/>
      <c r="B107" s="160"/>
      <c r="C107" s="161"/>
      <c r="D107" s="161"/>
      <c r="E107" s="161"/>
      <c r="F107" s="161"/>
    </row>
    <row r="108" spans="1:15" x14ac:dyDescent="0.2">
      <c r="B108" s="139"/>
      <c r="C108" s="139"/>
      <c r="D108" s="139"/>
      <c r="E108" s="139"/>
      <c r="F108" s="139"/>
    </row>
    <row r="109" spans="1:15" x14ac:dyDescent="0.2"/>
    <row r="110" spans="1:15" x14ac:dyDescent="0.2"/>
    <row r="111" spans="1:15" x14ac:dyDescent="0.2"/>
    <row r="112" spans="1:15" x14ac:dyDescent="0.2"/>
    <row r="113" x14ac:dyDescent="0.2"/>
    <row r="114" x14ac:dyDescent="0.2"/>
    <row r="115" x14ac:dyDescent="0.2"/>
    <row r="116" x14ac:dyDescent="0.2"/>
    <row r="117" x14ac:dyDescent="0.2"/>
    <row r="118" x14ac:dyDescent="0.2"/>
    <row r="119" x14ac:dyDescent="0.2"/>
    <row r="120" x14ac:dyDescent="0.2"/>
    <row r="121" x14ac:dyDescent="0.2"/>
    <row r="122" x14ac:dyDescent="0.2"/>
    <row r="123" x14ac:dyDescent="0.2"/>
    <row r="124" x14ac:dyDescent="0.2"/>
    <row r="125" x14ac:dyDescent="0.2"/>
    <row r="126" x14ac:dyDescent="0.2"/>
    <row r="127" x14ac:dyDescent="0.2"/>
    <row r="128" x14ac:dyDescent="0.2"/>
    <row r="129" x14ac:dyDescent="0.2"/>
    <row r="130" x14ac:dyDescent="0.2"/>
    <row r="131" x14ac:dyDescent="0.2"/>
    <row r="132" x14ac:dyDescent="0.2"/>
    <row r="133" x14ac:dyDescent="0.2"/>
    <row r="134" x14ac:dyDescent="0.2"/>
    <row r="135" x14ac:dyDescent="0.2"/>
    <row r="136" x14ac:dyDescent="0.2"/>
    <row r="137" x14ac:dyDescent="0.2"/>
    <row r="138" x14ac:dyDescent="0.2"/>
    <row r="139" x14ac:dyDescent="0.2"/>
    <row r="140" x14ac:dyDescent="0.2"/>
    <row r="141" x14ac:dyDescent="0.2"/>
    <row r="142" x14ac:dyDescent="0.2"/>
    <row r="143" x14ac:dyDescent="0.2"/>
    <row r="144" x14ac:dyDescent="0.2"/>
    <row r="145" x14ac:dyDescent="0.2"/>
    <row r="146" x14ac:dyDescent="0.2"/>
    <row r="147" x14ac:dyDescent="0.2"/>
    <row r="148" x14ac:dyDescent="0.2"/>
    <row r="149" x14ac:dyDescent="0.2"/>
    <row r="150" x14ac:dyDescent="0.2"/>
    <row r="151" x14ac:dyDescent="0.2"/>
    <row r="152" x14ac:dyDescent="0.2"/>
    <row r="153" x14ac:dyDescent="0.2"/>
    <row r="154" x14ac:dyDescent="0.2"/>
    <row r="155" x14ac:dyDescent="0.2"/>
    <row r="156" x14ac:dyDescent="0.2"/>
    <row r="157" x14ac:dyDescent="0.2"/>
    <row r="158" x14ac:dyDescent="0.2"/>
    <row r="159" x14ac:dyDescent="0.2"/>
    <row r="160" x14ac:dyDescent="0.2"/>
    <row r="161" x14ac:dyDescent="0.2"/>
    <row r="162" x14ac:dyDescent="0.2"/>
    <row r="163" x14ac:dyDescent="0.2"/>
    <row r="164" x14ac:dyDescent="0.2"/>
    <row r="165" x14ac:dyDescent="0.2"/>
    <row r="166" x14ac:dyDescent="0.2"/>
    <row r="167" x14ac:dyDescent="0.2"/>
    <row r="168" x14ac:dyDescent="0.2"/>
    <row r="169" x14ac:dyDescent="0.2"/>
    <row r="170" x14ac:dyDescent="0.2"/>
    <row r="171" x14ac:dyDescent="0.2"/>
    <row r="172" x14ac:dyDescent="0.2"/>
    <row r="173" x14ac:dyDescent="0.2"/>
    <row r="174" x14ac:dyDescent="0.2"/>
    <row r="175" x14ac:dyDescent="0.2"/>
    <row r="176" x14ac:dyDescent="0.2"/>
    <row r="177" x14ac:dyDescent="0.2"/>
    <row r="178" x14ac:dyDescent="0.2"/>
    <row r="179" x14ac:dyDescent="0.2"/>
    <row r="180" x14ac:dyDescent="0.2"/>
    <row r="181" x14ac:dyDescent="0.2"/>
    <row r="182" x14ac:dyDescent="0.2"/>
    <row r="183" x14ac:dyDescent="0.2"/>
    <row r="184" x14ac:dyDescent="0.2"/>
    <row r="185" x14ac:dyDescent="0.2"/>
    <row r="186" x14ac:dyDescent="0.2"/>
    <row r="187" x14ac:dyDescent="0.2"/>
    <row r="188" x14ac:dyDescent="0.2"/>
    <row r="189" x14ac:dyDescent="0.2"/>
    <row r="193" x14ac:dyDescent="0.2"/>
    <row r="194" x14ac:dyDescent="0.2"/>
    <row r="195" x14ac:dyDescent="0.2"/>
    <row r="196" x14ac:dyDescent="0.2"/>
    <row r="197" x14ac:dyDescent="0.2"/>
    <row r="198" x14ac:dyDescent="0.2"/>
    <row r="201" x14ac:dyDescent="0.2"/>
    <row r="202" x14ac:dyDescent="0.2"/>
    <row r="203" x14ac:dyDescent="0.2"/>
    <row r="204" x14ac:dyDescent="0.2"/>
    <row r="205" x14ac:dyDescent="0.2"/>
    <row r="206" x14ac:dyDescent="0.2"/>
    <row r="207" x14ac:dyDescent="0.2"/>
    <row r="208" x14ac:dyDescent="0.2"/>
    <row r="209" x14ac:dyDescent="0.2"/>
    <row r="210" x14ac:dyDescent="0.2"/>
    <row r="211" x14ac:dyDescent="0.2"/>
    <row r="212" x14ac:dyDescent="0.2"/>
    <row r="213" x14ac:dyDescent="0.2"/>
    <row r="214" x14ac:dyDescent="0.2"/>
  </sheetData>
  <sheetProtection algorithmName="SHA-512" hashValue="hhwdauFffUjlAJLQOWvzH52sW8GGcBW4zO+2uq+F8ALy3ddeNOIn9H1sUljUgQdhteflutbqdFTeobHtOByiTQ==" saltValue="01hBIXGQaqmo77iRlb3dlQ==" spinCount="100000" sheet="1" objects="1" scenarios="1"/>
  <mergeCells count="51">
    <mergeCell ref="B23:E23"/>
    <mergeCell ref="B25:F25"/>
    <mergeCell ref="B29:C29"/>
    <mergeCell ref="B30:C30"/>
    <mergeCell ref="B32:C32"/>
    <mergeCell ref="B26:F26"/>
    <mergeCell ref="A1:F1"/>
    <mergeCell ref="B3:F3"/>
    <mergeCell ref="C6:D6"/>
    <mergeCell ref="E6:F6"/>
    <mergeCell ref="B22:E22"/>
    <mergeCell ref="B4:F4"/>
    <mergeCell ref="B59:F59"/>
    <mergeCell ref="E80:E81"/>
    <mergeCell ref="F80:F81"/>
    <mergeCell ref="B64:F64"/>
    <mergeCell ref="B65:F65"/>
    <mergeCell ref="B62:F62"/>
    <mergeCell ref="B63:F63"/>
    <mergeCell ref="B96:F96"/>
    <mergeCell ref="B27:F27"/>
    <mergeCell ref="B28:F28"/>
    <mergeCell ref="B93:E93"/>
    <mergeCell ref="B35:C35"/>
    <mergeCell ref="B36:C36"/>
    <mergeCell ref="B37:C37"/>
    <mergeCell ref="B38:C38"/>
    <mergeCell ref="B39:C39"/>
    <mergeCell ref="B56:F56"/>
    <mergeCell ref="B58:C58"/>
    <mergeCell ref="B34:C34"/>
    <mergeCell ref="B31:C31"/>
    <mergeCell ref="B33:C33"/>
    <mergeCell ref="B61:F61"/>
    <mergeCell ref="B60:F60"/>
    <mergeCell ref="B97:B98"/>
    <mergeCell ref="C97:C98"/>
    <mergeCell ref="D97:D98"/>
    <mergeCell ref="B67:F67"/>
    <mergeCell ref="B68:B69"/>
    <mergeCell ref="C68:C69"/>
    <mergeCell ref="E97:E98"/>
    <mergeCell ref="F97:F98"/>
    <mergeCell ref="B92:F92"/>
    <mergeCell ref="D68:D69"/>
    <mergeCell ref="E68:E69"/>
    <mergeCell ref="F68:F69"/>
    <mergeCell ref="B79:F79"/>
    <mergeCell ref="B80:B81"/>
    <mergeCell ref="C80:C81"/>
    <mergeCell ref="D80:D81"/>
  </mergeCells>
  <phoneticPr fontId="0" type="noConversion"/>
  <printOptions horizontalCentered="1"/>
  <pageMargins left="0" right="0" top="1.25" bottom="0.5" header="0.25" footer="0.5"/>
  <pageSetup scale="80" orientation="portrait" r:id="rId1"/>
  <headerFooter alignWithMargins="0">
    <oddHeader>&amp;C&amp;"Arial,Bold"&amp;14&amp;K05-042Mississippi State University
&amp;11Office of Institutional Research and Effectiveness
Common Data Set 2022-23</oddHeader>
    <oddFooter>&amp;L&amp;9&amp;K05-049Updated: &amp;D&amp;C&amp;9&amp;K05-049&amp;A&amp;R&amp;9&amp;K05-049Page &amp;P</oddFooter>
  </headerFooter>
  <rowBreaks count="3" manualBreakCount="3">
    <brk id="54" max="16383" man="1"/>
    <brk id="95" max="5" man="1"/>
    <brk id="90" max="5" man="1"/>
  </rowBreaks>
  <ignoredErrors>
    <ignoredError sqref="L9:M18" formulaRange="1"/>
    <ignoredError sqref="C89:E89" evalError="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Q290"/>
  <sheetViews>
    <sheetView showRuler="0" zoomScaleNormal="100" workbookViewId="0">
      <selection activeCell="H82" sqref="H1:H1048576"/>
    </sheetView>
  </sheetViews>
  <sheetFormatPr defaultRowHeight="12.75" x14ac:dyDescent="0.2"/>
  <cols>
    <col min="1" max="1" width="5.42578125" style="3" customWidth="1"/>
    <col min="2" max="2" width="28.140625" style="2" customWidth="1"/>
    <col min="3" max="3" width="22" style="2" customWidth="1"/>
    <col min="4" max="4" width="18.7109375" style="2" customWidth="1"/>
    <col min="5" max="5" width="14.85546875" style="2" bestFit="1" customWidth="1"/>
    <col min="6" max="6" width="17.7109375" style="2" customWidth="1"/>
    <col min="7" max="7" width="9" style="83" customWidth="1"/>
    <col min="8" max="8" width="9.85546875" style="72" hidden="1" customWidth="1"/>
    <col min="9" max="9" width="10.85546875" style="72" bestFit="1" customWidth="1"/>
    <col min="10" max="10" width="9.140625" style="72"/>
    <col min="11" max="11" width="10.140625" style="72" bestFit="1" customWidth="1"/>
    <col min="12" max="15" width="9.140625" style="72"/>
    <col min="16" max="17" width="9.140625" style="83"/>
    <col min="18" max="16384" width="9.140625" style="2"/>
  </cols>
  <sheetData>
    <row r="1" spans="1:14" ht="18" x14ac:dyDescent="0.2">
      <c r="A1" s="1" t="s">
        <v>276</v>
      </c>
      <c r="B1" s="1"/>
      <c r="C1" s="1"/>
      <c r="D1" s="1"/>
      <c r="E1" s="1"/>
      <c r="F1" s="1"/>
      <c r="G1" s="1"/>
    </row>
    <row r="2" spans="1:14" ht="20.45" customHeight="1" x14ac:dyDescent="0.25">
      <c r="B2" s="162" t="s">
        <v>277</v>
      </c>
    </row>
    <row r="3" spans="1:14" x14ac:dyDescent="0.2">
      <c r="A3" s="163" t="s">
        <v>416</v>
      </c>
      <c r="B3" s="164" t="s">
        <v>966</v>
      </c>
      <c r="C3" s="165"/>
      <c r="D3" s="165"/>
      <c r="E3" s="165"/>
      <c r="F3" s="165"/>
    </row>
    <row r="4" spans="1:14" x14ac:dyDescent="0.2">
      <c r="A4" s="163"/>
      <c r="B4" s="164"/>
      <c r="C4" s="165"/>
      <c r="D4" s="165"/>
      <c r="E4" s="165"/>
      <c r="F4" s="165"/>
    </row>
    <row r="5" spans="1:14" x14ac:dyDescent="0.2">
      <c r="A5" s="166"/>
      <c r="B5" s="165"/>
      <c r="C5" s="165"/>
      <c r="D5" s="165"/>
      <c r="E5" s="165"/>
      <c r="F5" s="165"/>
    </row>
    <row r="6" spans="1:14" ht="17.100000000000001" customHeight="1" x14ac:dyDescent="0.2">
      <c r="B6" s="109" t="s">
        <v>768</v>
      </c>
      <c r="C6" s="109"/>
      <c r="D6" s="109"/>
      <c r="E6" s="109"/>
      <c r="F6" s="109"/>
    </row>
    <row r="7" spans="1:14" ht="53.1" customHeight="1" x14ac:dyDescent="0.2">
      <c r="B7" s="109" t="s">
        <v>767</v>
      </c>
      <c r="C7" s="109"/>
      <c r="D7" s="109"/>
      <c r="E7" s="109"/>
      <c r="F7" s="109"/>
    </row>
    <row r="8" spans="1:14" ht="17.100000000000001" customHeight="1" x14ac:dyDescent="0.2">
      <c r="B8" s="109" t="s">
        <v>766</v>
      </c>
      <c r="C8" s="109"/>
      <c r="D8" s="109"/>
      <c r="E8" s="109"/>
      <c r="F8" s="109"/>
    </row>
    <row r="9" spans="1:14" x14ac:dyDescent="0.2">
      <c r="A9" s="5"/>
      <c r="B9" s="167" t="s">
        <v>222</v>
      </c>
      <c r="C9" s="167"/>
      <c r="D9" s="168"/>
      <c r="E9" s="169">
        <v>8064</v>
      </c>
      <c r="F9" s="83"/>
      <c r="J9" s="72" t="s">
        <v>726</v>
      </c>
      <c r="K9" s="72" t="s">
        <v>727</v>
      </c>
      <c r="L9" s="72" t="s">
        <v>728</v>
      </c>
    </row>
    <row r="10" spans="1:14" x14ac:dyDescent="0.2">
      <c r="A10" s="5"/>
      <c r="B10" s="170" t="s">
        <v>223</v>
      </c>
      <c r="C10" s="170"/>
      <c r="D10" s="171"/>
      <c r="E10" s="172">
        <v>10766</v>
      </c>
      <c r="F10" s="83"/>
      <c r="J10" s="72">
        <f>SUM(E9:E10)</f>
        <v>18830</v>
      </c>
      <c r="K10" s="72">
        <f>SUM(E12:E13)</f>
        <v>14158</v>
      </c>
      <c r="L10" s="72" t="s">
        <v>725</v>
      </c>
      <c r="M10" s="72" t="s">
        <v>729</v>
      </c>
      <c r="N10" s="72" t="s">
        <v>730</v>
      </c>
    </row>
    <row r="11" spans="1:14" x14ac:dyDescent="0.2">
      <c r="A11" s="5"/>
      <c r="B11" s="173"/>
      <c r="C11" s="174"/>
      <c r="D11" s="174"/>
      <c r="E11" s="175"/>
      <c r="F11" s="83"/>
      <c r="L11" s="72">
        <f>SUM(E15:E16)</f>
        <v>1618</v>
      </c>
      <c r="M11" s="72">
        <f>SUM(E18:E19)</f>
        <v>1749</v>
      </c>
      <c r="N11" s="72">
        <f>SUM(L11:M11)</f>
        <v>3367</v>
      </c>
    </row>
    <row r="12" spans="1:14" x14ac:dyDescent="0.2">
      <c r="A12" s="5"/>
      <c r="B12" s="170" t="s">
        <v>224</v>
      </c>
      <c r="C12" s="170"/>
      <c r="D12" s="171"/>
      <c r="E12" s="172">
        <v>6136</v>
      </c>
      <c r="F12" s="83"/>
      <c r="H12" s="83"/>
    </row>
    <row r="13" spans="1:14" x14ac:dyDescent="0.2">
      <c r="A13" s="5"/>
      <c r="B13" s="170" t="s">
        <v>511</v>
      </c>
      <c r="C13" s="170"/>
      <c r="D13" s="171"/>
      <c r="E13" s="172">
        <v>8022</v>
      </c>
      <c r="F13" s="83"/>
      <c r="H13" s="83"/>
    </row>
    <row r="14" spans="1:14" x14ac:dyDescent="0.2">
      <c r="A14" s="5"/>
      <c r="C14" s="176"/>
      <c r="D14" s="176"/>
      <c r="E14" s="175"/>
      <c r="F14" s="83"/>
      <c r="H14" s="83"/>
    </row>
    <row r="15" spans="1:14" x14ac:dyDescent="0.2">
      <c r="A15" s="5"/>
      <c r="B15" s="177" t="s">
        <v>503</v>
      </c>
      <c r="C15" s="177"/>
      <c r="D15" s="178"/>
      <c r="E15" s="172">
        <v>1612</v>
      </c>
      <c r="F15" s="83"/>
      <c r="H15" s="83"/>
    </row>
    <row r="16" spans="1:14" x14ac:dyDescent="0.2">
      <c r="A16" s="5"/>
      <c r="B16" s="177" t="s">
        <v>504</v>
      </c>
      <c r="C16" s="177"/>
      <c r="D16" s="178"/>
      <c r="E16" s="172">
        <v>6</v>
      </c>
      <c r="F16" s="83"/>
      <c r="H16" s="83"/>
    </row>
    <row r="17" spans="1:8" x14ac:dyDescent="0.2">
      <c r="A17" s="5"/>
      <c r="B17" s="179"/>
      <c r="C17" s="179"/>
      <c r="D17" s="179"/>
      <c r="E17" s="175"/>
      <c r="F17" s="83"/>
      <c r="H17" s="83"/>
    </row>
    <row r="18" spans="1:8" x14ac:dyDescent="0.2">
      <c r="A18" s="5"/>
      <c r="B18" s="180" t="s">
        <v>505</v>
      </c>
      <c r="C18" s="177"/>
      <c r="D18" s="178"/>
      <c r="E18" s="172">
        <v>1741</v>
      </c>
      <c r="F18" s="83"/>
      <c r="H18" s="83"/>
    </row>
    <row r="19" spans="1:8" x14ac:dyDescent="0.2">
      <c r="A19" s="5"/>
      <c r="B19" s="177" t="s">
        <v>506</v>
      </c>
      <c r="C19" s="177"/>
      <c r="D19" s="178"/>
      <c r="E19" s="181">
        <v>8</v>
      </c>
      <c r="F19" s="83"/>
      <c r="H19" s="83"/>
    </row>
    <row r="20" spans="1:8" x14ac:dyDescent="0.2">
      <c r="F20" s="83"/>
    </row>
    <row r="21" spans="1:8" x14ac:dyDescent="0.2">
      <c r="A21" s="5" t="s">
        <v>417</v>
      </c>
      <c r="B21" s="164" t="s">
        <v>770</v>
      </c>
      <c r="C21" s="4"/>
      <c r="D21" s="4"/>
      <c r="E21" s="4"/>
      <c r="F21" s="55"/>
    </row>
    <row r="22" spans="1:8" ht="19.5" customHeight="1" x14ac:dyDescent="0.2">
      <c r="A22" s="5"/>
      <c r="B22" s="109" t="s">
        <v>769</v>
      </c>
      <c r="C22" s="109"/>
      <c r="D22" s="109"/>
      <c r="E22" s="109"/>
      <c r="F22" s="109"/>
    </row>
    <row r="23" spans="1:8" x14ac:dyDescent="0.2">
      <c r="A23" s="5"/>
      <c r="B23" s="182"/>
      <c r="C23" s="183"/>
      <c r="D23" s="184"/>
      <c r="E23" s="185" t="s">
        <v>344</v>
      </c>
      <c r="F23" s="185" t="s">
        <v>345</v>
      </c>
    </row>
    <row r="24" spans="1:8" ht="19.5" customHeight="1" x14ac:dyDescent="0.2">
      <c r="A24" s="5"/>
      <c r="B24" s="178" t="s">
        <v>278</v>
      </c>
      <c r="C24" s="186"/>
      <c r="D24" s="187"/>
      <c r="E24" s="188"/>
      <c r="F24" s="189" t="s">
        <v>684</v>
      </c>
    </row>
    <row r="25" spans="1:8" ht="21.95" hidden="1" customHeight="1" x14ac:dyDescent="0.2">
      <c r="A25" s="5"/>
      <c r="B25" s="190" t="s">
        <v>967</v>
      </c>
      <c r="C25" s="55"/>
      <c r="D25" s="55"/>
      <c r="F25" s="176"/>
    </row>
    <row r="26" spans="1:8" hidden="1" x14ac:dyDescent="0.2">
      <c r="A26" s="5"/>
      <c r="B26" s="124"/>
      <c r="E26" s="191"/>
      <c r="F26" s="176"/>
    </row>
    <row r="27" spans="1:8" hidden="1" x14ac:dyDescent="0.2">
      <c r="A27" s="5"/>
      <c r="B27" s="192" t="s">
        <v>771</v>
      </c>
      <c r="C27" s="192"/>
      <c r="D27" s="192"/>
      <c r="E27" s="193" t="s">
        <v>72</v>
      </c>
      <c r="F27" s="176"/>
    </row>
    <row r="28" spans="1:8" hidden="1" x14ac:dyDescent="0.2">
      <c r="A28" s="5"/>
      <c r="B28" s="194" t="s">
        <v>645</v>
      </c>
      <c r="C28" s="24"/>
      <c r="D28" s="25"/>
      <c r="E28" s="34"/>
      <c r="F28" s="176"/>
    </row>
    <row r="29" spans="1:8" hidden="1" x14ac:dyDescent="0.2">
      <c r="A29" s="5"/>
      <c r="B29" s="195" t="s">
        <v>309</v>
      </c>
      <c r="C29" s="195"/>
      <c r="D29" s="195"/>
      <c r="E29" s="34"/>
      <c r="F29" s="176"/>
    </row>
    <row r="30" spans="1:8" hidden="1" x14ac:dyDescent="0.2">
      <c r="A30" s="5"/>
      <c r="B30" s="195" t="s">
        <v>310</v>
      </c>
      <c r="C30" s="195"/>
      <c r="D30" s="195"/>
      <c r="E30" s="34"/>
    </row>
    <row r="31" spans="1:8" hidden="1" x14ac:dyDescent="0.2">
      <c r="A31" s="5"/>
      <c r="B31" s="196"/>
      <c r="C31" s="197"/>
      <c r="D31" s="197"/>
      <c r="E31" s="185" t="s">
        <v>344</v>
      </c>
      <c r="F31" s="185" t="s">
        <v>345</v>
      </c>
    </row>
    <row r="32" spans="1:8" hidden="1" x14ac:dyDescent="0.2">
      <c r="A32" s="5"/>
      <c r="B32" s="198" t="s">
        <v>439</v>
      </c>
      <c r="C32" s="199"/>
      <c r="D32" s="199"/>
      <c r="E32" s="188"/>
      <c r="F32" s="189" t="s">
        <v>684</v>
      </c>
    </row>
    <row r="33" spans="1:6" hidden="1" x14ac:dyDescent="0.2">
      <c r="A33" s="5"/>
      <c r="B33" s="200" t="s">
        <v>440</v>
      </c>
      <c r="C33" s="201"/>
      <c r="D33" s="183"/>
      <c r="E33" s="188"/>
      <c r="F33" s="202"/>
    </row>
    <row r="34" spans="1:6" hidden="1" x14ac:dyDescent="0.2">
      <c r="A34" s="5"/>
      <c r="B34" s="200" t="s">
        <v>441</v>
      </c>
      <c r="C34" s="201"/>
      <c r="D34" s="183"/>
      <c r="E34" s="188"/>
      <c r="F34" s="202"/>
    </row>
    <row r="36" spans="1:6" ht="15.75" x14ac:dyDescent="0.25">
      <c r="A36" s="203"/>
      <c r="B36" s="162" t="s">
        <v>279</v>
      </c>
    </row>
    <row r="37" spans="1:6" x14ac:dyDescent="0.2">
      <c r="A37" s="5" t="s">
        <v>415</v>
      </c>
      <c r="B37" s="6" t="s">
        <v>475</v>
      </c>
    </row>
    <row r="38" spans="1:6" ht="29.1" customHeight="1" x14ac:dyDescent="0.2">
      <c r="A38" s="5"/>
      <c r="B38" s="204" t="s">
        <v>772</v>
      </c>
      <c r="C38" s="204"/>
      <c r="D38" s="204"/>
      <c r="E38" s="204"/>
      <c r="F38" s="204"/>
    </row>
    <row r="39" spans="1:6" ht="12.95" customHeight="1" x14ac:dyDescent="0.2">
      <c r="A39" s="189" t="s">
        <v>684</v>
      </c>
      <c r="B39" s="205" t="s">
        <v>280</v>
      </c>
      <c r="C39" s="109"/>
      <c r="D39" s="109"/>
      <c r="E39" s="206"/>
      <c r="F39" s="176"/>
    </row>
    <row r="40" spans="1:6" ht="12.95" customHeight="1" x14ac:dyDescent="0.2">
      <c r="A40" s="207"/>
      <c r="B40" s="208" t="s">
        <v>311</v>
      </c>
      <c r="C40" s="209"/>
      <c r="D40" s="209"/>
      <c r="E40" s="210"/>
      <c r="F40" s="176"/>
    </row>
    <row r="41" spans="1:6" ht="12.75" customHeight="1" x14ac:dyDescent="0.2">
      <c r="A41" s="207"/>
      <c r="B41" s="205" t="s">
        <v>312</v>
      </c>
      <c r="C41" s="109"/>
      <c r="D41" s="109"/>
      <c r="E41" s="206"/>
      <c r="F41" s="176"/>
    </row>
    <row r="43" spans="1:6" ht="29.25" customHeight="1" x14ac:dyDescent="0.2">
      <c r="A43" s="5" t="s">
        <v>418</v>
      </c>
      <c r="B43" s="211" t="s">
        <v>609</v>
      </c>
      <c r="C43" s="211"/>
      <c r="D43" s="211"/>
      <c r="E43" s="211"/>
      <c r="F43" s="55"/>
    </row>
    <row r="44" spans="1:6" x14ac:dyDescent="0.2">
      <c r="A44" s="189" t="s">
        <v>684</v>
      </c>
      <c r="B44" s="212" t="s">
        <v>313</v>
      </c>
      <c r="C44" s="4"/>
      <c r="D44" s="213"/>
      <c r="F44" s="176"/>
    </row>
    <row r="45" spans="1:6" x14ac:dyDescent="0.2">
      <c r="A45" s="207"/>
      <c r="B45" s="214" t="s">
        <v>314</v>
      </c>
      <c r="C45" s="4"/>
      <c r="D45" s="215"/>
      <c r="F45" s="176"/>
    </row>
    <row r="46" spans="1:6" ht="12.75" customHeight="1" x14ac:dyDescent="0.2">
      <c r="A46" s="207"/>
      <c r="B46" s="212" t="s">
        <v>315</v>
      </c>
      <c r="C46" s="4"/>
      <c r="D46" s="215"/>
      <c r="F46" s="176"/>
    </row>
    <row r="48" spans="1:6" ht="54.75" customHeight="1" x14ac:dyDescent="0.2">
      <c r="A48" s="5" t="s">
        <v>419</v>
      </c>
      <c r="B48" s="164" t="s">
        <v>400</v>
      </c>
      <c r="C48" s="216"/>
      <c r="D48" s="216"/>
      <c r="E48" s="216"/>
      <c r="F48" s="55"/>
    </row>
    <row r="49" spans="1:7" ht="24" x14ac:dyDescent="0.2">
      <c r="A49" s="5"/>
      <c r="D49" s="217" t="s">
        <v>842</v>
      </c>
      <c r="E49" s="218" t="s">
        <v>843</v>
      </c>
      <c r="G49" s="219"/>
    </row>
    <row r="50" spans="1:7" x14ac:dyDescent="0.2">
      <c r="A50" s="5"/>
      <c r="B50" s="220" t="s">
        <v>610</v>
      </c>
      <c r="C50" s="221"/>
      <c r="D50" s="189">
        <v>4</v>
      </c>
      <c r="E50" s="222">
        <v>4</v>
      </c>
    </row>
    <row r="51" spans="1:7" x14ac:dyDescent="0.2">
      <c r="A51" s="5"/>
      <c r="B51" s="220" t="s">
        <v>611</v>
      </c>
      <c r="C51" s="221"/>
      <c r="D51" s="189">
        <v>4</v>
      </c>
      <c r="E51" s="222">
        <v>4</v>
      </c>
    </row>
    <row r="52" spans="1:7" x14ac:dyDescent="0.2">
      <c r="A52" s="5"/>
      <c r="B52" s="220" t="s">
        <v>612</v>
      </c>
      <c r="C52" s="221"/>
      <c r="D52" s="189">
        <v>3</v>
      </c>
      <c r="E52" s="222">
        <v>4</v>
      </c>
    </row>
    <row r="53" spans="1:7" ht="12.95" customHeight="1" x14ac:dyDescent="0.2">
      <c r="A53" s="5"/>
      <c r="B53" s="223" t="s">
        <v>613</v>
      </c>
      <c r="C53" s="224"/>
      <c r="D53" s="189">
        <v>3.5</v>
      </c>
      <c r="E53" s="222">
        <v>4</v>
      </c>
    </row>
    <row r="54" spans="1:7" ht="12.95" customHeight="1" x14ac:dyDescent="0.2">
      <c r="A54" s="5"/>
      <c r="B54" s="223" t="s">
        <v>615</v>
      </c>
      <c r="C54" s="224"/>
      <c r="D54" s="189">
        <v>2</v>
      </c>
      <c r="E54" s="225">
        <v>2</v>
      </c>
    </row>
    <row r="55" spans="1:7" ht="13.5" customHeight="1" x14ac:dyDescent="0.2">
      <c r="A55" s="5"/>
      <c r="B55" s="226" t="s">
        <v>274</v>
      </c>
      <c r="C55" s="227"/>
      <c r="D55" s="189">
        <v>1</v>
      </c>
      <c r="E55" s="225">
        <v>1</v>
      </c>
    </row>
    <row r="56" spans="1:7" ht="12.95" customHeight="1" x14ac:dyDescent="0.2">
      <c r="A56" s="5"/>
      <c r="B56" s="226" t="s">
        <v>275</v>
      </c>
      <c r="C56" s="227"/>
      <c r="D56" s="189">
        <v>1</v>
      </c>
      <c r="E56" s="222">
        <v>1</v>
      </c>
    </row>
    <row r="57" spans="1:7" x14ac:dyDescent="0.2">
      <c r="A57" s="5"/>
      <c r="B57" s="149"/>
      <c r="D57" s="228"/>
      <c r="E57" s="228"/>
    </row>
    <row r="58" spans="1:7" ht="12.95" customHeight="1" x14ac:dyDescent="0.2">
      <c r="A58" s="5"/>
      <c r="B58" s="229" t="s">
        <v>844</v>
      </c>
      <c r="C58" s="230"/>
      <c r="D58" s="189">
        <f>SUM(D50:D56)</f>
        <v>18.5</v>
      </c>
      <c r="E58" s="189">
        <f>SUM(E50:E56)</f>
        <v>20</v>
      </c>
    </row>
    <row r="59" spans="1:7" ht="12.95" customHeight="1" x14ac:dyDescent="0.2">
      <c r="A59" s="5"/>
      <c r="D59" s="231"/>
    </row>
    <row r="60" spans="1:7" ht="22.5" customHeight="1" x14ac:dyDescent="0.25">
      <c r="B60" s="162" t="s">
        <v>616</v>
      </c>
    </row>
    <row r="61" spans="1:7" ht="38.25" customHeight="1" x14ac:dyDescent="0.2">
      <c r="A61" s="5" t="s">
        <v>420</v>
      </c>
      <c r="B61" s="232" t="s">
        <v>413</v>
      </c>
      <c r="C61" s="233"/>
      <c r="D61" s="233"/>
      <c r="E61" s="233"/>
      <c r="F61" s="55"/>
    </row>
    <row r="62" spans="1:7" x14ac:dyDescent="0.2">
      <c r="A62" s="207"/>
      <c r="B62" s="234" t="s">
        <v>414</v>
      </c>
      <c r="C62" s="55"/>
      <c r="D62" s="55"/>
      <c r="E62" s="235"/>
      <c r="F62" s="176"/>
    </row>
    <row r="63" spans="1:7" x14ac:dyDescent="0.2">
      <c r="A63" s="236"/>
      <c r="B63" s="237" t="s">
        <v>325</v>
      </c>
      <c r="C63" s="4"/>
      <c r="D63" s="4"/>
      <c r="E63" s="235"/>
      <c r="F63" s="176"/>
    </row>
    <row r="64" spans="1:7" x14ac:dyDescent="0.2">
      <c r="A64" s="207"/>
      <c r="B64" s="238" t="s">
        <v>327</v>
      </c>
      <c r="C64" s="239"/>
      <c r="D64" s="239"/>
      <c r="E64" s="235"/>
      <c r="F64" s="176"/>
    </row>
    <row r="65" spans="1:6" x14ac:dyDescent="0.2">
      <c r="A65" s="207"/>
      <c r="B65" s="238" t="s">
        <v>326</v>
      </c>
      <c r="C65" s="239"/>
      <c r="D65" s="239"/>
      <c r="E65" s="235"/>
      <c r="F65" s="176"/>
    </row>
    <row r="66" spans="1:6" x14ac:dyDescent="0.2">
      <c r="A66" s="207"/>
      <c r="B66" s="240" t="s">
        <v>773</v>
      </c>
      <c r="C66" s="241"/>
      <c r="D66" s="241"/>
      <c r="E66" s="242"/>
      <c r="F66" s="176"/>
    </row>
    <row r="67" spans="1:6" x14ac:dyDescent="0.2">
      <c r="B67" s="241"/>
      <c r="C67" s="241"/>
      <c r="D67" s="241"/>
    </row>
    <row r="69" spans="1:6" ht="28.5" customHeight="1" x14ac:dyDescent="0.2">
      <c r="A69" s="5" t="s">
        <v>421</v>
      </c>
      <c r="B69" s="211" t="s">
        <v>617</v>
      </c>
      <c r="C69" s="243"/>
      <c r="D69" s="243"/>
      <c r="E69" s="243"/>
      <c r="F69" s="244"/>
    </row>
    <row r="70" spans="1:6" x14ac:dyDescent="0.2">
      <c r="A70" s="5"/>
      <c r="B70" s="245"/>
      <c r="C70" s="246" t="s">
        <v>618</v>
      </c>
      <c r="D70" s="246" t="s">
        <v>619</v>
      </c>
      <c r="E70" s="246" t="s">
        <v>620</v>
      </c>
      <c r="F70" s="246" t="s">
        <v>621</v>
      </c>
    </row>
    <row r="71" spans="1:6" ht="15" x14ac:dyDescent="0.2">
      <c r="A71" s="5"/>
      <c r="B71" s="247" t="s">
        <v>622</v>
      </c>
      <c r="C71" s="248"/>
      <c r="D71" s="248"/>
      <c r="E71" s="248"/>
      <c r="F71" s="249"/>
    </row>
    <row r="72" spans="1:6" ht="25.5" x14ac:dyDescent="0.2">
      <c r="A72" s="5"/>
      <c r="B72" s="250" t="s">
        <v>442</v>
      </c>
      <c r="C72" s="189"/>
      <c r="D72" s="189"/>
      <c r="E72" s="189" t="s">
        <v>684</v>
      </c>
      <c r="F72" s="189"/>
    </row>
    <row r="73" spans="1:6" x14ac:dyDescent="0.2">
      <c r="A73" s="5"/>
      <c r="B73" s="251" t="s">
        <v>623</v>
      </c>
      <c r="C73" s="189"/>
      <c r="D73" s="189" t="s">
        <v>684</v>
      </c>
      <c r="E73" s="189"/>
      <c r="F73" s="189"/>
    </row>
    <row r="74" spans="1:6" x14ac:dyDescent="0.2">
      <c r="A74" s="5"/>
      <c r="B74" s="252" t="s">
        <v>443</v>
      </c>
      <c r="C74" s="189" t="s">
        <v>684</v>
      </c>
      <c r="D74" s="189"/>
      <c r="E74" s="189"/>
      <c r="F74" s="189"/>
    </row>
    <row r="75" spans="1:6" x14ac:dyDescent="0.2">
      <c r="A75" s="5"/>
      <c r="B75" s="251" t="s">
        <v>625</v>
      </c>
      <c r="C75" s="189"/>
      <c r="D75" s="189"/>
      <c r="E75" s="189" t="s">
        <v>684</v>
      </c>
      <c r="F75" s="189"/>
    </row>
    <row r="76" spans="1:6" x14ac:dyDescent="0.2">
      <c r="A76" s="5"/>
      <c r="B76" s="251" t="s">
        <v>444</v>
      </c>
      <c r="C76" s="189"/>
      <c r="D76" s="189"/>
      <c r="E76" s="189"/>
      <c r="F76" s="189" t="s">
        <v>684</v>
      </c>
    </row>
    <row r="77" spans="1:6" x14ac:dyDescent="0.2">
      <c r="A77" s="5"/>
      <c r="B77" s="251" t="s">
        <v>624</v>
      </c>
      <c r="C77" s="189"/>
      <c r="D77" s="189"/>
      <c r="E77" s="189"/>
      <c r="F77" s="189" t="s">
        <v>684</v>
      </c>
    </row>
    <row r="78" spans="1:6" ht="15" x14ac:dyDescent="0.2">
      <c r="A78" s="5"/>
      <c r="B78" s="247" t="s">
        <v>626</v>
      </c>
      <c r="C78" s="253"/>
      <c r="D78" s="253"/>
      <c r="E78" s="253"/>
      <c r="F78" s="254"/>
    </row>
    <row r="79" spans="1:6" x14ac:dyDescent="0.2">
      <c r="A79" s="5"/>
      <c r="B79" s="251" t="s">
        <v>627</v>
      </c>
      <c r="C79" s="189"/>
      <c r="D79" s="189"/>
      <c r="E79" s="189"/>
      <c r="F79" s="189" t="s">
        <v>684</v>
      </c>
    </row>
    <row r="80" spans="1:6" x14ac:dyDescent="0.2">
      <c r="A80" s="5"/>
      <c r="B80" s="251" t="s">
        <v>628</v>
      </c>
      <c r="C80" s="189"/>
      <c r="D80" s="189"/>
      <c r="E80" s="189"/>
      <c r="F80" s="189" t="s">
        <v>684</v>
      </c>
    </row>
    <row r="81" spans="1:8" x14ac:dyDescent="0.2">
      <c r="A81" s="5"/>
      <c r="B81" s="251" t="s">
        <v>629</v>
      </c>
      <c r="C81" s="189"/>
      <c r="D81" s="189"/>
      <c r="E81" s="189"/>
      <c r="F81" s="189" t="s">
        <v>684</v>
      </c>
    </row>
    <row r="82" spans="1:8" x14ac:dyDescent="0.2">
      <c r="A82" s="5"/>
      <c r="B82" s="251" t="s">
        <v>630</v>
      </c>
      <c r="C82" s="189"/>
      <c r="D82" s="189"/>
      <c r="E82" s="189"/>
      <c r="F82" s="189" t="s">
        <v>684</v>
      </c>
    </row>
    <row r="83" spans="1:8" x14ac:dyDescent="0.2">
      <c r="A83" s="5"/>
      <c r="B83" s="251" t="s">
        <v>445</v>
      </c>
      <c r="C83" s="189"/>
      <c r="D83" s="189"/>
      <c r="E83" s="189"/>
      <c r="F83" s="189" t="s">
        <v>684</v>
      </c>
    </row>
    <row r="84" spans="1:8" x14ac:dyDescent="0.2">
      <c r="A84" s="5"/>
      <c r="B84" s="251" t="s">
        <v>631</v>
      </c>
      <c r="C84" s="189"/>
      <c r="D84" s="189"/>
      <c r="E84" s="189"/>
      <c r="F84" s="189" t="s">
        <v>684</v>
      </c>
    </row>
    <row r="85" spans="1:8" x14ac:dyDescent="0.2">
      <c r="A85" s="5"/>
      <c r="B85" s="251" t="s">
        <v>632</v>
      </c>
      <c r="C85" s="189"/>
      <c r="D85" s="189"/>
      <c r="E85" s="189"/>
      <c r="F85" s="189" t="s">
        <v>684</v>
      </c>
    </row>
    <row r="86" spans="1:8" x14ac:dyDescent="0.2">
      <c r="A86" s="5"/>
      <c r="B86" s="251" t="s">
        <v>633</v>
      </c>
      <c r="C86" s="189"/>
      <c r="D86" s="189"/>
      <c r="E86" s="189" t="s">
        <v>684</v>
      </c>
      <c r="F86" s="189"/>
    </row>
    <row r="87" spans="1:8" ht="25.5" x14ac:dyDescent="0.2">
      <c r="A87" s="5"/>
      <c r="B87" s="255" t="s">
        <v>634</v>
      </c>
      <c r="C87" s="189"/>
      <c r="D87" s="189"/>
      <c r="E87" s="189"/>
      <c r="F87" s="189" t="s">
        <v>684</v>
      </c>
    </row>
    <row r="88" spans="1:8" x14ac:dyDescent="0.2">
      <c r="A88" s="5"/>
      <c r="B88" s="251" t="s">
        <v>446</v>
      </c>
      <c r="C88" s="189"/>
      <c r="D88" s="189"/>
      <c r="E88" s="189"/>
      <c r="F88" s="189" t="s">
        <v>684</v>
      </c>
    </row>
    <row r="89" spans="1:8" x14ac:dyDescent="0.2">
      <c r="A89" s="5"/>
      <c r="B89" s="251" t="s">
        <v>636</v>
      </c>
      <c r="C89" s="189"/>
      <c r="D89" s="189"/>
      <c r="E89" s="189"/>
      <c r="F89" s="189" t="s">
        <v>684</v>
      </c>
    </row>
    <row r="90" spans="1:8" x14ac:dyDescent="0.2">
      <c r="A90" s="5"/>
      <c r="B90" s="251" t="s">
        <v>637</v>
      </c>
      <c r="C90" s="189"/>
      <c r="D90" s="189"/>
      <c r="E90" s="189"/>
      <c r="F90" s="189" t="s">
        <v>684</v>
      </c>
    </row>
    <row r="91" spans="1:8" x14ac:dyDescent="0.2">
      <c r="A91" s="5"/>
      <c r="B91" s="251" t="s">
        <v>447</v>
      </c>
      <c r="C91" s="189"/>
      <c r="D91" s="189"/>
      <c r="E91" s="189"/>
      <c r="F91" s="189" t="s">
        <v>684</v>
      </c>
    </row>
    <row r="93" spans="1:8" ht="21.95" customHeight="1" x14ac:dyDescent="0.25">
      <c r="B93" s="162" t="s">
        <v>638</v>
      </c>
    </row>
    <row r="94" spans="1:8" x14ac:dyDescent="0.2">
      <c r="A94" s="5" t="s">
        <v>422</v>
      </c>
      <c r="B94" s="256" t="s">
        <v>437</v>
      </c>
      <c r="C94" s="257"/>
      <c r="D94" s="257"/>
      <c r="E94" s="257"/>
      <c r="F94" s="257"/>
      <c r="G94" s="258"/>
      <c r="H94" s="259"/>
    </row>
    <row r="95" spans="1:8" x14ac:dyDescent="0.2">
      <c r="A95" s="5"/>
      <c r="B95" s="260"/>
      <c r="C95" s="55"/>
      <c r="D95" s="55"/>
      <c r="F95" s="185" t="s">
        <v>344</v>
      </c>
      <c r="G95" s="185" t="s">
        <v>345</v>
      </c>
      <c r="H95" s="259"/>
    </row>
    <row r="96" spans="1:8" ht="27.6" customHeight="1" x14ac:dyDescent="0.2">
      <c r="A96" s="5"/>
      <c r="B96" s="261" t="s">
        <v>291</v>
      </c>
      <c r="C96" s="261"/>
      <c r="D96" s="261"/>
      <c r="E96" s="261"/>
      <c r="F96" s="145" t="s">
        <v>684</v>
      </c>
      <c r="G96" s="262"/>
      <c r="H96" s="263"/>
    </row>
    <row r="97" spans="1:17" ht="26.25" customHeight="1" x14ac:dyDescent="0.2">
      <c r="A97" s="5" t="s">
        <v>438</v>
      </c>
      <c r="B97" s="264" t="s">
        <v>968</v>
      </c>
      <c r="C97" s="265"/>
      <c r="D97" s="265"/>
      <c r="E97" s="265"/>
      <c r="F97" s="266"/>
      <c r="G97" s="267"/>
      <c r="H97" s="268"/>
    </row>
    <row r="98" spans="1:17" ht="12.75" customHeight="1" x14ac:dyDescent="0.2">
      <c r="A98" s="5"/>
      <c r="B98" s="269"/>
      <c r="C98" s="270" t="s">
        <v>597</v>
      </c>
      <c r="D98" s="271"/>
      <c r="E98" s="271"/>
      <c r="F98" s="272"/>
      <c r="G98" s="273"/>
      <c r="H98" s="268"/>
    </row>
    <row r="99" spans="1:17" ht="24" customHeight="1" x14ac:dyDescent="0.2">
      <c r="A99" s="5"/>
      <c r="B99" s="274"/>
      <c r="C99" s="275" t="s">
        <v>313</v>
      </c>
      <c r="D99" s="275" t="s">
        <v>314</v>
      </c>
      <c r="E99" s="275" t="s">
        <v>606</v>
      </c>
      <c r="F99" s="276" t="s">
        <v>607</v>
      </c>
      <c r="G99" s="277" t="s">
        <v>598</v>
      </c>
      <c r="H99" s="268"/>
    </row>
    <row r="100" spans="1:17" ht="12.75" customHeight="1" x14ac:dyDescent="0.2">
      <c r="A100" s="5"/>
      <c r="B100" s="278" t="s">
        <v>489</v>
      </c>
      <c r="C100" s="279"/>
      <c r="D100" s="279"/>
      <c r="E100" s="280"/>
      <c r="F100" s="279" t="s">
        <v>684</v>
      </c>
      <c r="G100" s="281"/>
      <c r="H100" s="268"/>
    </row>
    <row r="101" spans="1:17" ht="12.75" customHeight="1" x14ac:dyDescent="0.2">
      <c r="A101" s="5"/>
      <c r="B101" s="278" t="s">
        <v>483</v>
      </c>
      <c r="C101" s="280"/>
      <c r="D101" s="280"/>
      <c r="E101" s="280"/>
      <c r="F101" s="280"/>
      <c r="G101" s="281"/>
      <c r="H101" s="268"/>
    </row>
    <row r="102" spans="1:17" ht="12.75" customHeight="1" x14ac:dyDescent="0.2">
      <c r="A102" s="5"/>
      <c r="B102" s="278" t="s">
        <v>490</v>
      </c>
      <c r="C102" s="280"/>
      <c r="D102" s="280"/>
      <c r="E102" s="280"/>
      <c r="F102" s="280"/>
      <c r="G102" s="281"/>
      <c r="H102" s="268"/>
    </row>
    <row r="103" spans="1:17" ht="25.5" x14ac:dyDescent="0.2">
      <c r="A103" s="5"/>
      <c r="B103" s="282" t="s">
        <v>491</v>
      </c>
      <c r="C103" s="283"/>
      <c r="D103" s="280"/>
      <c r="E103" s="280"/>
      <c r="F103" s="280"/>
      <c r="G103" s="281"/>
      <c r="H103" s="268"/>
    </row>
    <row r="104" spans="1:17" x14ac:dyDescent="0.2">
      <c r="A104" s="5"/>
      <c r="B104" s="278" t="s">
        <v>484</v>
      </c>
      <c r="C104" s="280"/>
      <c r="D104" s="280"/>
      <c r="E104" s="280"/>
      <c r="F104" s="280"/>
      <c r="G104" s="281"/>
      <c r="H104" s="268"/>
    </row>
    <row r="105" spans="1:17" ht="12.75" customHeight="1" x14ac:dyDescent="0.2">
      <c r="A105" s="5"/>
      <c r="B105" s="231"/>
      <c r="C105" s="284"/>
      <c r="D105" s="284"/>
      <c r="E105" s="284"/>
      <c r="F105" s="284"/>
      <c r="G105" s="267"/>
      <c r="H105" s="268"/>
    </row>
    <row r="106" spans="1:17" ht="39" customHeight="1" x14ac:dyDescent="0.2">
      <c r="A106" s="285" t="s">
        <v>343</v>
      </c>
      <c r="B106" s="286" t="s">
        <v>969</v>
      </c>
      <c r="C106" s="286"/>
      <c r="D106" s="286"/>
      <c r="E106" s="286"/>
      <c r="F106" s="286"/>
      <c r="G106" s="286"/>
      <c r="H106" s="268"/>
    </row>
    <row r="107" spans="1:17" s="292" customFormat="1" x14ac:dyDescent="0.2">
      <c r="A107" s="144"/>
      <c r="B107" s="287" t="s">
        <v>646</v>
      </c>
      <c r="C107" s="288"/>
      <c r="D107" s="288"/>
      <c r="E107" s="289"/>
      <c r="F107" s="274"/>
      <c r="G107" s="267"/>
      <c r="H107" s="268"/>
      <c r="I107" s="290"/>
      <c r="J107" s="290"/>
      <c r="K107" s="290"/>
      <c r="L107" s="290"/>
      <c r="M107" s="290"/>
      <c r="N107" s="290"/>
      <c r="O107" s="290"/>
      <c r="P107" s="291"/>
      <c r="Q107" s="291"/>
    </row>
    <row r="108" spans="1:17" s="292" customFormat="1" ht="12.75" customHeight="1" x14ac:dyDescent="0.2">
      <c r="A108" s="144"/>
      <c r="B108" s="287" t="s">
        <v>647</v>
      </c>
      <c r="C108" s="288"/>
      <c r="D108" s="288"/>
      <c r="E108" s="289"/>
      <c r="F108" s="274"/>
      <c r="G108" s="267"/>
      <c r="H108" s="268"/>
      <c r="I108" s="290"/>
      <c r="J108" s="290"/>
      <c r="K108" s="290"/>
      <c r="L108" s="290"/>
      <c r="M108" s="290"/>
      <c r="N108" s="290"/>
      <c r="O108" s="290"/>
      <c r="P108" s="291"/>
      <c r="Q108" s="291"/>
    </row>
    <row r="109" spans="1:17" s="292" customFormat="1" ht="12.75" customHeight="1" x14ac:dyDescent="0.2">
      <c r="A109" s="279" t="s">
        <v>684</v>
      </c>
      <c r="B109" s="287" t="s">
        <v>648</v>
      </c>
      <c r="C109" s="288"/>
      <c r="D109" s="288"/>
      <c r="E109" s="293"/>
      <c r="F109" s="274"/>
      <c r="G109" s="267"/>
      <c r="H109" s="268"/>
      <c r="I109" s="290"/>
      <c r="J109" s="290"/>
      <c r="K109" s="290"/>
      <c r="L109" s="290"/>
      <c r="M109" s="290"/>
      <c r="N109" s="290"/>
      <c r="O109" s="290"/>
      <c r="P109" s="291"/>
      <c r="Q109" s="291"/>
    </row>
    <row r="110" spans="1:17" s="292" customFormat="1" ht="12.75" customHeight="1" x14ac:dyDescent="0.2">
      <c r="A110" s="285"/>
      <c r="B110" s="294"/>
      <c r="C110" s="294"/>
      <c r="D110" s="294"/>
      <c r="G110" s="267"/>
      <c r="H110" s="268"/>
      <c r="I110" s="290"/>
      <c r="J110" s="290"/>
      <c r="K110" s="290"/>
      <c r="L110" s="290"/>
      <c r="M110" s="290"/>
      <c r="N110" s="290"/>
      <c r="O110" s="290"/>
      <c r="P110" s="291"/>
      <c r="Q110" s="291"/>
    </row>
    <row r="111" spans="1:17" s="292" customFormat="1" ht="12.75" customHeight="1" x14ac:dyDescent="0.2">
      <c r="A111" s="285" t="s">
        <v>343</v>
      </c>
      <c r="B111" s="261" t="s">
        <v>652</v>
      </c>
      <c r="C111" s="261"/>
      <c r="D111" s="261"/>
      <c r="E111" s="261"/>
      <c r="F111" s="261"/>
      <c r="G111" s="261"/>
      <c r="H111" s="268"/>
      <c r="I111" s="290"/>
      <c r="J111" s="290"/>
      <c r="K111" s="290"/>
      <c r="L111" s="290"/>
      <c r="M111" s="290"/>
      <c r="N111" s="290"/>
      <c r="O111" s="290"/>
      <c r="P111" s="291"/>
      <c r="Q111" s="291"/>
    </row>
    <row r="112" spans="1:17" s="292" customFormat="1" ht="12.75" customHeight="1" x14ac:dyDescent="0.2">
      <c r="A112" s="285"/>
      <c r="B112" s="295" t="s">
        <v>970</v>
      </c>
      <c r="C112" s="166"/>
      <c r="D112" s="166"/>
      <c r="E112" s="166"/>
      <c r="F112" s="166"/>
      <c r="G112" s="166"/>
      <c r="H112" s="268"/>
      <c r="I112" s="290"/>
      <c r="J112" s="290"/>
      <c r="K112" s="290"/>
      <c r="L112" s="290"/>
      <c r="M112" s="290"/>
      <c r="N112" s="290"/>
      <c r="O112" s="290"/>
      <c r="P112" s="291"/>
      <c r="Q112" s="291"/>
    </row>
    <row r="113" spans="1:17" s="292" customFormat="1" ht="12.75" customHeight="1" x14ac:dyDescent="0.2">
      <c r="A113" s="285"/>
      <c r="B113" s="296" t="s">
        <v>653</v>
      </c>
      <c r="C113" s="166"/>
      <c r="D113" s="166"/>
      <c r="E113" s="166"/>
      <c r="F113" s="166"/>
      <c r="G113" s="166"/>
      <c r="H113" s="268"/>
      <c r="I113" s="290"/>
      <c r="J113" s="290"/>
      <c r="K113" s="290"/>
      <c r="L113" s="290"/>
      <c r="M113" s="290"/>
      <c r="N113" s="290"/>
      <c r="O113" s="290"/>
      <c r="P113" s="291"/>
      <c r="Q113" s="291"/>
    </row>
    <row r="114" spans="1:17" s="292" customFormat="1" ht="12.75" customHeight="1" x14ac:dyDescent="0.2">
      <c r="A114" s="144"/>
      <c r="B114" s="297" t="s">
        <v>649</v>
      </c>
      <c r="C114" s="298"/>
      <c r="D114" s="298"/>
      <c r="E114" s="289"/>
      <c r="G114" s="267"/>
      <c r="H114" s="268"/>
      <c r="I114" s="290"/>
      <c r="J114" s="290"/>
      <c r="K114" s="290"/>
      <c r="L114" s="290"/>
      <c r="M114" s="290"/>
      <c r="N114" s="290"/>
      <c r="O114" s="290"/>
      <c r="P114" s="291"/>
      <c r="Q114" s="291"/>
    </row>
    <row r="115" spans="1:17" s="292" customFormat="1" ht="12.75" customHeight="1" x14ac:dyDescent="0.2">
      <c r="A115" s="144"/>
      <c r="B115" s="297" t="s">
        <v>650</v>
      </c>
      <c r="C115" s="298"/>
      <c r="D115" s="298"/>
      <c r="E115" s="299"/>
      <c r="G115" s="267"/>
      <c r="H115" s="268"/>
      <c r="I115" s="290"/>
      <c r="J115" s="290"/>
      <c r="K115" s="290"/>
      <c r="L115" s="290"/>
      <c r="M115" s="290"/>
      <c r="N115" s="290"/>
      <c r="O115" s="290"/>
      <c r="P115" s="291"/>
      <c r="Q115" s="291"/>
    </row>
    <row r="116" spans="1:17" s="292" customFormat="1" ht="12.75" customHeight="1" x14ac:dyDescent="0.2">
      <c r="A116" s="279" t="s">
        <v>684</v>
      </c>
      <c r="B116" s="297" t="s">
        <v>651</v>
      </c>
      <c r="C116" s="298"/>
      <c r="D116" s="298"/>
      <c r="E116" s="293"/>
      <c r="G116" s="267"/>
      <c r="H116" s="268"/>
      <c r="I116" s="290"/>
      <c r="J116" s="290"/>
      <c r="K116" s="290"/>
      <c r="L116" s="290"/>
      <c r="M116" s="290"/>
      <c r="N116" s="290"/>
      <c r="O116" s="290"/>
      <c r="P116" s="291"/>
      <c r="Q116" s="291"/>
    </row>
    <row r="117" spans="1:17" s="292" customFormat="1" ht="12.75" customHeight="1" x14ac:dyDescent="0.2">
      <c r="A117" s="285"/>
      <c r="B117" s="294"/>
      <c r="C117" s="294"/>
      <c r="D117" s="294"/>
      <c r="G117" s="267"/>
      <c r="H117" s="268"/>
      <c r="I117" s="290"/>
      <c r="J117" s="290"/>
      <c r="K117" s="290"/>
      <c r="L117" s="290"/>
      <c r="M117" s="290"/>
      <c r="N117" s="290"/>
      <c r="O117" s="290"/>
      <c r="P117" s="291"/>
      <c r="Q117" s="291"/>
    </row>
    <row r="118" spans="1:17" s="292" customFormat="1" ht="12.75" customHeight="1" x14ac:dyDescent="0.2">
      <c r="A118" s="285" t="s">
        <v>320</v>
      </c>
      <c r="B118" s="261" t="s">
        <v>492</v>
      </c>
      <c r="C118" s="261"/>
      <c r="D118" s="261"/>
      <c r="E118" s="261"/>
      <c r="F118" s="261"/>
      <c r="G118" s="261"/>
      <c r="H118" s="268"/>
      <c r="I118" s="290"/>
      <c r="J118" s="290"/>
      <c r="K118" s="290"/>
      <c r="L118" s="290"/>
      <c r="M118" s="290"/>
      <c r="N118" s="290"/>
      <c r="O118" s="290"/>
      <c r="P118" s="291"/>
      <c r="Q118" s="291"/>
    </row>
    <row r="119" spans="1:17" s="292" customFormat="1" ht="12.75" customHeight="1" x14ac:dyDescent="0.2">
      <c r="A119" s="285"/>
      <c r="B119" s="294"/>
      <c r="C119" s="294"/>
      <c r="D119" s="294"/>
      <c r="E119" s="300" t="s">
        <v>69</v>
      </c>
      <c r="F119" s="301" t="s">
        <v>70</v>
      </c>
      <c r="G119" s="302"/>
      <c r="H119" s="268"/>
      <c r="I119" s="290"/>
      <c r="J119" s="290"/>
      <c r="K119" s="290"/>
      <c r="L119" s="290"/>
      <c r="M119" s="290"/>
      <c r="N119" s="290"/>
      <c r="O119" s="290"/>
      <c r="P119" s="291"/>
      <c r="Q119" s="291"/>
    </row>
    <row r="120" spans="1:17" s="292" customFormat="1" ht="13.5" customHeight="1" x14ac:dyDescent="0.2">
      <c r="A120" s="285"/>
      <c r="C120" s="261" t="s">
        <v>493</v>
      </c>
      <c r="D120" s="303"/>
      <c r="E120" s="304"/>
      <c r="F120" s="305"/>
      <c r="G120" s="267"/>
      <c r="H120" s="268"/>
      <c r="I120" s="290"/>
      <c r="J120" s="290"/>
      <c r="K120" s="290"/>
      <c r="L120" s="290"/>
      <c r="M120" s="290"/>
      <c r="N120" s="290"/>
      <c r="O120" s="290"/>
      <c r="P120" s="291"/>
      <c r="Q120" s="291"/>
    </row>
    <row r="121" spans="1:17" s="292" customFormat="1" ht="12.75" customHeight="1" x14ac:dyDescent="0.2">
      <c r="A121" s="285"/>
      <c r="C121" s="261" t="s">
        <v>494</v>
      </c>
      <c r="D121" s="303"/>
      <c r="E121" s="306"/>
      <c r="F121" s="307"/>
      <c r="G121" s="267"/>
      <c r="H121" s="268"/>
      <c r="I121" s="290"/>
      <c r="J121" s="290"/>
      <c r="K121" s="290"/>
      <c r="L121" s="290"/>
      <c r="M121" s="290"/>
      <c r="N121" s="290"/>
      <c r="O121" s="290"/>
      <c r="P121" s="291"/>
      <c r="Q121" s="291"/>
    </row>
    <row r="122" spans="1:17" s="292" customFormat="1" ht="15.75" customHeight="1" x14ac:dyDescent="0.2">
      <c r="A122" s="285"/>
      <c r="C122" s="261" t="s">
        <v>495</v>
      </c>
      <c r="D122" s="303"/>
      <c r="E122" s="304"/>
      <c r="F122" s="307"/>
      <c r="G122" s="267"/>
      <c r="H122" s="268"/>
      <c r="I122" s="290"/>
      <c r="J122" s="290"/>
      <c r="K122" s="290"/>
      <c r="L122" s="290"/>
      <c r="M122" s="290"/>
      <c r="N122" s="290"/>
      <c r="O122" s="290"/>
      <c r="P122" s="291"/>
      <c r="Q122" s="291"/>
    </row>
    <row r="123" spans="1:17" s="292" customFormat="1" ht="12.75" customHeight="1" x14ac:dyDescent="0.2">
      <c r="A123" s="285"/>
      <c r="C123" s="308" t="s">
        <v>496</v>
      </c>
      <c r="D123" s="309"/>
      <c r="E123" s="304"/>
      <c r="F123" s="307"/>
      <c r="G123" s="267"/>
      <c r="H123" s="268"/>
      <c r="I123" s="290"/>
      <c r="J123" s="290"/>
      <c r="K123" s="290"/>
      <c r="L123" s="290"/>
      <c r="M123" s="290"/>
      <c r="N123" s="290"/>
      <c r="O123" s="290"/>
      <c r="P123" s="291"/>
      <c r="Q123" s="291"/>
    </row>
    <row r="124" spans="1:17" s="292" customFormat="1" ht="37.5" customHeight="1" x14ac:dyDescent="0.2">
      <c r="A124" s="285"/>
      <c r="C124" s="310" t="s">
        <v>497</v>
      </c>
      <c r="D124" s="311"/>
      <c r="E124" s="306"/>
      <c r="F124" s="307"/>
      <c r="G124" s="267"/>
      <c r="H124" s="268"/>
      <c r="I124" s="290"/>
      <c r="J124" s="290"/>
      <c r="K124" s="290"/>
      <c r="L124" s="290"/>
      <c r="M124" s="290"/>
      <c r="N124" s="290"/>
      <c r="O124" s="290"/>
      <c r="P124" s="291"/>
      <c r="Q124" s="291"/>
    </row>
    <row r="125" spans="1:17" s="292" customFormat="1" ht="15" customHeight="1" x14ac:dyDescent="0.2">
      <c r="A125" s="285"/>
      <c r="C125" s="308" t="s">
        <v>498</v>
      </c>
      <c r="D125" s="309"/>
      <c r="E125" s="312" t="s">
        <v>684</v>
      </c>
      <c r="F125" s="145" t="s">
        <v>684</v>
      </c>
      <c r="G125" s="267"/>
      <c r="H125" s="268"/>
      <c r="I125" s="290"/>
      <c r="J125" s="290"/>
      <c r="K125" s="290"/>
      <c r="L125" s="290"/>
      <c r="M125" s="290"/>
      <c r="N125" s="290"/>
      <c r="O125" s="290"/>
      <c r="P125" s="291"/>
      <c r="Q125" s="291"/>
    </row>
    <row r="126" spans="1:17" s="292" customFormat="1" ht="12.75" customHeight="1" x14ac:dyDescent="0.2">
      <c r="A126" s="285"/>
      <c r="C126" s="308" t="s">
        <v>316</v>
      </c>
      <c r="D126" s="309"/>
      <c r="E126" s="312" t="s">
        <v>684</v>
      </c>
      <c r="F126" s="145" t="s">
        <v>684</v>
      </c>
      <c r="G126" s="267"/>
      <c r="H126" s="268"/>
      <c r="I126" s="290"/>
      <c r="J126" s="290"/>
      <c r="K126" s="290"/>
      <c r="L126" s="290"/>
      <c r="M126" s="290"/>
      <c r="N126" s="290"/>
      <c r="O126" s="290"/>
      <c r="P126" s="291"/>
      <c r="Q126" s="291"/>
    </row>
    <row r="127" spans="1:17" s="292" customFormat="1" ht="12.75" customHeight="1" x14ac:dyDescent="0.2">
      <c r="A127" s="5"/>
      <c r="B127" s="231"/>
      <c r="C127" s="284"/>
      <c r="D127" s="284"/>
      <c r="E127" s="284"/>
      <c r="F127" s="284"/>
      <c r="G127" s="267"/>
      <c r="H127" s="268"/>
      <c r="I127" s="290"/>
      <c r="J127" s="290"/>
      <c r="K127" s="290"/>
      <c r="L127" s="290"/>
      <c r="M127" s="290"/>
      <c r="N127" s="290"/>
      <c r="O127" s="290"/>
      <c r="P127" s="291"/>
      <c r="Q127" s="291"/>
    </row>
    <row r="128" spans="1:17" x14ac:dyDescent="0.2">
      <c r="A128" s="5" t="s">
        <v>321</v>
      </c>
      <c r="B128" s="260" t="s">
        <v>499</v>
      </c>
      <c r="C128" s="55"/>
      <c r="D128" s="55"/>
      <c r="E128" s="55"/>
      <c r="F128" s="55"/>
      <c r="G128" s="267"/>
      <c r="H128" s="268"/>
    </row>
    <row r="129" spans="1:8" x14ac:dyDescent="0.2">
      <c r="A129" s="5"/>
      <c r="B129" s="256"/>
      <c r="C129" s="26"/>
      <c r="D129" s="26"/>
      <c r="E129" s="26"/>
      <c r="G129" s="267"/>
      <c r="H129" s="268"/>
    </row>
    <row r="130" spans="1:8" x14ac:dyDescent="0.2">
      <c r="A130" s="279" t="s">
        <v>684</v>
      </c>
      <c r="B130" s="313" t="s">
        <v>344</v>
      </c>
      <c r="C130" s="314"/>
      <c r="D130" s="314"/>
      <c r="E130" s="26"/>
      <c r="F130" s="315"/>
      <c r="G130" s="267"/>
      <c r="H130" s="268"/>
    </row>
    <row r="131" spans="1:8" x14ac:dyDescent="0.2">
      <c r="A131" s="207"/>
      <c r="B131" s="316" t="s">
        <v>345</v>
      </c>
      <c r="C131" s="317"/>
      <c r="D131" s="317"/>
      <c r="E131" s="318"/>
      <c r="F131" s="315"/>
      <c r="G131" s="267"/>
      <c r="H131" s="268"/>
    </row>
    <row r="132" spans="1:8" x14ac:dyDescent="0.2">
      <c r="C132" s="319"/>
      <c r="D132" s="173"/>
      <c r="F132" s="176"/>
      <c r="H132" s="268"/>
    </row>
    <row r="133" spans="1:8" ht="12.95" customHeight="1" x14ac:dyDescent="0.2">
      <c r="A133" s="5" t="s">
        <v>485</v>
      </c>
      <c r="B133" s="320" t="s">
        <v>488</v>
      </c>
      <c r="C133" s="320"/>
      <c r="D133" s="320"/>
      <c r="E133" s="320"/>
      <c r="F133" s="145"/>
    </row>
    <row r="134" spans="1:8" x14ac:dyDescent="0.2">
      <c r="A134" s="5"/>
      <c r="B134" s="28" t="s">
        <v>487</v>
      </c>
      <c r="C134" s="28"/>
      <c r="D134" s="28"/>
      <c r="E134" s="28"/>
      <c r="F134" s="145"/>
    </row>
    <row r="135" spans="1:8" x14ac:dyDescent="0.2">
      <c r="A135" s="5"/>
      <c r="B135" s="7"/>
      <c r="C135" s="7"/>
      <c r="D135" s="7"/>
      <c r="E135" s="321"/>
      <c r="F135" s="176"/>
    </row>
    <row r="136" spans="1:8" ht="15.75" customHeight="1" x14ac:dyDescent="0.2">
      <c r="A136" s="5" t="s">
        <v>500</v>
      </c>
      <c r="B136" s="322" t="s">
        <v>6</v>
      </c>
      <c r="C136" s="323"/>
      <c r="D136" s="323"/>
      <c r="E136" s="323"/>
      <c r="F136" s="323"/>
      <c r="G136" s="267"/>
    </row>
    <row r="137" spans="1:8" ht="17.25" customHeight="1" x14ac:dyDescent="0.2">
      <c r="A137" s="279" t="s">
        <v>684</v>
      </c>
      <c r="B137" s="297" t="s">
        <v>7</v>
      </c>
      <c r="C137" s="324"/>
      <c r="D137" s="324"/>
      <c r="E137" s="325"/>
      <c r="F137" s="318"/>
    </row>
    <row r="138" spans="1:8" x14ac:dyDescent="0.2">
      <c r="A138" s="279" t="s">
        <v>684</v>
      </c>
      <c r="B138" s="326" t="s">
        <v>436</v>
      </c>
      <c r="C138" s="327"/>
      <c r="D138" s="327"/>
      <c r="E138" s="314"/>
      <c r="F138" s="318"/>
    </row>
    <row r="139" spans="1:8" x14ac:dyDescent="0.2">
      <c r="A139" s="236"/>
      <c r="B139" s="297" t="s">
        <v>486</v>
      </c>
      <c r="C139" s="324"/>
      <c r="D139" s="324"/>
      <c r="E139" s="314"/>
      <c r="F139" s="26"/>
    </row>
    <row r="140" spans="1:8" x14ac:dyDescent="0.2">
      <c r="A140" s="236"/>
      <c r="B140" s="297" t="s">
        <v>8</v>
      </c>
      <c r="C140" s="324"/>
      <c r="D140" s="324"/>
      <c r="E140" s="314"/>
      <c r="F140" s="26"/>
    </row>
    <row r="141" spans="1:8" x14ac:dyDescent="0.2">
      <c r="A141" s="236"/>
      <c r="B141" s="287" t="s">
        <v>9</v>
      </c>
      <c r="C141" s="324"/>
      <c r="D141" s="324"/>
      <c r="E141" s="328"/>
      <c r="F141" s="329"/>
    </row>
    <row r="142" spans="1:8" x14ac:dyDescent="0.2">
      <c r="A142" s="236"/>
      <c r="B142" s="297" t="s">
        <v>10</v>
      </c>
      <c r="C142" s="330"/>
      <c r="D142" s="330"/>
      <c r="E142" s="314"/>
      <c r="F142" s="26"/>
    </row>
    <row r="143" spans="1:8" x14ac:dyDescent="0.2">
      <c r="A143" s="236"/>
      <c r="B143" s="297" t="s">
        <v>11</v>
      </c>
      <c r="C143" s="331"/>
      <c r="D143" s="331"/>
      <c r="E143" s="331"/>
      <c r="F143" s="331"/>
    </row>
    <row r="144" spans="1:8" x14ac:dyDescent="0.2">
      <c r="A144" s="5"/>
      <c r="B144" s="7"/>
      <c r="C144" s="7"/>
      <c r="D144" s="7"/>
      <c r="E144" s="321"/>
      <c r="F144" s="176"/>
    </row>
    <row r="145" spans="1:8" ht="21.95" customHeight="1" x14ac:dyDescent="0.25">
      <c r="B145" s="162" t="s">
        <v>639</v>
      </c>
      <c r="C145" s="319"/>
      <c r="D145" s="173"/>
      <c r="F145" s="176"/>
    </row>
    <row r="146" spans="1:8" ht="39" customHeight="1" x14ac:dyDescent="0.2">
      <c r="B146" s="261" t="s">
        <v>971</v>
      </c>
      <c r="C146" s="4"/>
      <c r="D146" s="4"/>
      <c r="E146" s="4"/>
      <c r="F146" s="4"/>
    </row>
    <row r="147" spans="1:8" x14ac:dyDescent="0.2">
      <c r="B147" s="294"/>
      <c r="C147" s="7"/>
      <c r="D147" s="7"/>
      <c r="E147" s="7"/>
      <c r="F147" s="7"/>
    </row>
    <row r="148" spans="1:8" ht="31.5" customHeight="1" x14ac:dyDescent="0.2">
      <c r="A148" s="5" t="s">
        <v>423</v>
      </c>
      <c r="B148" s="164" t="s">
        <v>972</v>
      </c>
      <c r="C148" s="216"/>
      <c r="D148" s="216"/>
      <c r="E148" s="216"/>
      <c r="F148" s="216"/>
      <c r="H148" s="332"/>
    </row>
    <row r="149" spans="1:8" ht="12.95" customHeight="1" x14ac:dyDescent="0.2">
      <c r="A149" s="5"/>
      <c r="B149" s="261" t="s">
        <v>774</v>
      </c>
      <c r="C149" s="333"/>
      <c r="D149" s="333"/>
      <c r="E149" s="333"/>
      <c r="F149" s="333"/>
      <c r="H149" s="332"/>
    </row>
    <row r="150" spans="1:8" ht="12.95" customHeight="1" x14ac:dyDescent="0.2">
      <c r="A150" s="5"/>
      <c r="B150" s="333" t="s">
        <v>775</v>
      </c>
      <c r="C150" s="333"/>
      <c r="D150" s="333"/>
      <c r="E150" s="333"/>
      <c r="F150" s="333"/>
      <c r="H150" s="332"/>
    </row>
    <row r="151" spans="1:8" ht="12.95" customHeight="1" x14ac:dyDescent="0.2">
      <c r="A151" s="5"/>
      <c r="B151" s="333" t="s">
        <v>776</v>
      </c>
      <c r="C151" s="333"/>
      <c r="D151" s="333"/>
      <c r="E151" s="333"/>
      <c r="F151" s="333"/>
      <c r="H151" s="332"/>
    </row>
    <row r="152" spans="1:8" ht="26.25" customHeight="1" x14ac:dyDescent="0.2">
      <c r="A152" s="5"/>
      <c r="B152" s="333" t="s">
        <v>777</v>
      </c>
      <c r="C152" s="333"/>
      <c r="D152" s="333"/>
      <c r="E152" s="333"/>
      <c r="F152" s="333"/>
      <c r="H152" s="332"/>
    </row>
    <row r="153" spans="1:8" ht="12.95" customHeight="1" x14ac:dyDescent="0.2">
      <c r="B153" s="334" t="s">
        <v>778</v>
      </c>
      <c r="C153" s="334"/>
      <c r="D153" s="334"/>
      <c r="E153" s="334"/>
      <c r="F153" s="334"/>
    </row>
    <row r="154" spans="1:8" ht="12.95" customHeight="1" x14ac:dyDescent="0.2">
      <c r="B154" s="334" t="s">
        <v>779</v>
      </c>
      <c r="C154" s="334"/>
      <c r="D154" s="334"/>
      <c r="E154" s="334"/>
      <c r="F154" s="334"/>
    </row>
    <row r="155" spans="1:8" ht="12.95" customHeight="1" x14ac:dyDescent="0.2">
      <c r="B155" s="335"/>
      <c r="C155" s="335"/>
      <c r="D155" s="335"/>
      <c r="E155" s="336"/>
      <c r="F155" s="336"/>
    </row>
    <row r="156" spans="1:8" ht="13.5" customHeight="1" x14ac:dyDescent="0.2">
      <c r="A156" s="5"/>
      <c r="B156" s="337"/>
      <c r="C156" s="338" t="s">
        <v>780</v>
      </c>
      <c r="D156" s="339" t="s">
        <v>43</v>
      </c>
      <c r="E156" s="340"/>
      <c r="F156" s="340"/>
      <c r="H156" s="341"/>
    </row>
    <row r="157" spans="1:8" x14ac:dyDescent="0.2">
      <c r="A157" s="5"/>
      <c r="B157" s="342" t="s">
        <v>781</v>
      </c>
      <c r="C157" s="343">
        <f>D157 / (N11)</f>
        <v>7.0092070092070094E-2</v>
      </c>
      <c r="D157" s="145">
        <v>236</v>
      </c>
      <c r="E157" s="344"/>
      <c r="F157" s="345"/>
    </row>
    <row r="158" spans="1:8" x14ac:dyDescent="0.2">
      <c r="A158" s="5"/>
      <c r="B158" s="342" t="s">
        <v>782</v>
      </c>
      <c r="C158" s="343">
        <f>D158 / ($N11)</f>
        <v>0.90198990198990203</v>
      </c>
      <c r="D158" s="145">
        <v>3037</v>
      </c>
      <c r="E158" s="340"/>
      <c r="F158" s="346"/>
    </row>
    <row r="159" spans="1:8" x14ac:dyDescent="0.2">
      <c r="A159" s="5"/>
      <c r="B159" s="337"/>
      <c r="C159" s="347"/>
      <c r="D159" s="347"/>
      <c r="E159" s="347"/>
      <c r="F159" s="347"/>
    </row>
    <row r="160" spans="1:8" x14ac:dyDescent="0.2">
      <c r="A160" s="5"/>
      <c r="C160" s="348" t="s">
        <v>783</v>
      </c>
      <c r="D160" s="193" t="s">
        <v>190</v>
      </c>
      <c r="E160" s="193" t="s">
        <v>974</v>
      </c>
      <c r="F160" s="193" t="s">
        <v>191</v>
      </c>
    </row>
    <row r="161" spans="1:6" hidden="1" x14ac:dyDescent="0.2">
      <c r="A161" s="5"/>
      <c r="C161" s="26" t="s">
        <v>754</v>
      </c>
      <c r="D161" s="225"/>
      <c r="E161" s="225"/>
      <c r="F161" s="225"/>
    </row>
    <row r="162" spans="1:6" x14ac:dyDescent="0.2">
      <c r="A162" s="5"/>
      <c r="C162" s="330" t="s">
        <v>704</v>
      </c>
      <c r="D162" s="225">
        <v>540</v>
      </c>
      <c r="E162" s="225">
        <v>580</v>
      </c>
      <c r="F162" s="225">
        <v>640</v>
      </c>
    </row>
    <row r="163" spans="1:6" x14ac:dyDescent="0.2">
      <c r="A163" s="5"/>
      <c r="C163" s="173" t="s">
        <v>703</v>
      </c>
      <c r="D163" s="225">
        <v>530</v>
      </c>
      <c r="E163" s="225">
        <v>570</v>
      </c>
      <c r="F163" s="225">
        <v>640</v>
      </c>
    </row>
    <row r="164" spans="1:6" x14ac:dyDescent="0.2">
      <c r="A164" s="5"/>
      <c r="C164" s="173" t="s">
        <v>192</v>
      </c>
      <c r="D164" s="225">
        <v>21</v>
      </c>
      <c r="E164" s="225">
        <v>25</v>
      </c>
      <c r="F164" s="225">
        <v>29</v>
      </c>
    </row>
    <row r="165" spans="1:6" x14ac:dyDescent="0.2">
      <c r="A165" s="5"/>
      <c r="C165" s="173" t="s">
        <v>194</v>
      </c>
      <c r="D165" s="225">
        <v>19</v>
      </c>
      <c r="E165" s="225">
        <v>24</v>
      </c>
      <c r="F165" s="225">
        <v>27</v>
      </c>
    </row>
    <row r="166" spans="1:6" x14ac:dyDescent="0.2">
      <c r="A166" s="5"/>
      <c r="C166" s="173" t="s">
        <v>193</v>
      </c>
      <c r="D166" s="225">
        <v>21</v>
      </c>
      <c r="E166" s="225">
        <v>25</v>
      </c>
      <c r="F166" s="225">
        <v>31</v>
      </c>
    </row>
    <row r="167" spans="1:6" x14ac:dyDescent="0.2">
      <c r="C167" s="349"/>
      <c r="D167" s="349"/>
    </row>
    <row r="168" spans="1:6" x14ac:dyDescent="0.2">
      <c r="A168" s="5"/>
      <c r="B168" s="295" t="s">
        <v>225</v>
      </c>
      <c r="C168" s="166"/>
      <c r="D168" s="166"/>
      <c r="E168" s="166"/>
      <c r="F168" s="166"/>
    </row>
    <row r="169" spans="1:6" ht="25.5" x14ac:dyDescent="0.2">
      <c r="A169" s="5"/>
      <c r="C169" s="350" t="s">
        <v>784</v>
      </c>
      <c r="D169" s="246" t="s">
        <v>704</v>
      </c>
      <c r="E169" s="185" t="s">
        <v>703</v>
      </c>
      <c r="F169" s="3"/>
    </row>
    <row r="170" spans="1:6" x14ac:dyDescent="0.2">
      <c r="A170" s="5"/>
      <c r="C170" s="351" t="s">
        <v>705</v>
      </c>
      <c r="D170" s="352">
        <v>8.4699999999999998E-2</v>
      </c>
      <c r="E170" s="352">
        <v>0.1186</v>
      </c>
      <c r="F170" s="3"/>
    </row>
    <row r="171" spans="1:6" x14ac:dyDescent="0.2">
      <c r="A171" s="5"/>
      <c r="C171" s="351" t="s">
        <v>706</v>
      </c>
      <c r="D171" s="352">
        <v>0.35589999999999999</v>
      </c>
      <c r="E171" s="352">
        <v>0.27539999999999998</v>
      </c>
      <c r="F171" s="3"/>
    </row>
    <row r="172" spans="1:6" x14ac:dyDescent="0.2">
      <c r="A172" s="5"/>
      <c r="C172" s="351" t="s">
        <v>707</v>
      </c>
      <c r="D172" s="352">
        <v>0.41949999999999998</v>
      </c>
      <c r="E172" s="352">
        <v>0.4788</v>
      </c>
      <c r="F172" s="3"/>
    </row>
    <row r="173" spans="1:6" x14ac:dyDescent="0.2">
      <c r="A173" s="5"/>
      <c r="C173" s="351" t="s">
        <v>708</v>
      </c>
      <c r="D173" s="352">
        <v>0.1356</v>
      </c>
      <c r="E173" s="352">
        <v>0.1103</v>
      </c>
      <c r="F173" s="3"/>
    </row>
    <row r="174" spans="1:6" x14ac:dyDescent="0.2">
      <c r="A174" s="5"/>
      <c r="C174" s="351" t="s">
        <v>709</v>
      </c>
      <c r="D174" s="352">
        <v>4.3E-3</v>
      </c>
      <c r="E174" s="352">
        <v>1.6899999999999998E-2</v>
      </c>
      <c r="F174" s="3"/>
    </row>
    <row r="175" spans="1:6" ht="13.5" thickBot="1" x14ac:dyDescent="0.25">
      <c r="A175" s="5"/>
      <c r="C175" s="351" t="s">
        <v>710</v>
      </c>
      <c r="D175" s="353">
        <v>0</v>
      </c>
      <c r="E175" s="353">
        <v>0</v>
      </c>
      <c r="F175" s="3"/>
    </row>
    <row r="176" spans="1:6" ht="13.5" thickTop="1" x14ac:dyDescent="0.2">
      <c r="A176" s="5"/>
      <c r="C176" s="354" t="s">
        <v>468</v>
      </c>
      <c r="D176" s="355">
        <f>SUM(D170:D175)</f>
        <v>1</v>
      </c>
      <c r="E176" s="355">
        <f>SUM(E170:E175)</f>
        <v>1</v>
      </c>
      <c r="F176" s="3"/>
    </row>
    <row r="177" spans="1:15" x14ac:dyDescent="0.2">
      <c r="A177" s="5"/>
      <c r="C177" s="356"/>
      <c r="D177" s="356"/>
      <c r="E177" s="3"/>
      <c r="F177" s="3"/>
    </row>
    <row r="178" spans="1:15" s="26" customFormat="1" x14ac:dyDescent="0.2">
      <c r="A178" s="5"/>
      <c r="C178" s="350" t="s">
        <v>784</v>
      </c>
      <c r="D178" s="357" t="s">
        <v>754</v>
      </c>
      <c r="E178" s="358"/>
      <c r="F178" s="358"/>
      <c r="G178" s="83"/>
      <c r="H178" s="72"/>
      <c r="I178" s="72"/>
      <c r="J178" s="72"/>
      <c r="K178" s="72"/>
      <c r="L178" s="72"/>
      <c r="M178" s="72"/>
      <c r="N178" s="72"/>
      <c r="O178" s="72"/>
    </row>
    <row r="179" spans="1:15" s="26" customFormat="1" x14ac:dyDescent="0.2">
      <c r="A179" s="5"/>
      <c r="C179" s="359" t="s">
        <v>785</v>
      </c>
      <c r="D179" s="360">
        <v>9.75</v>
      </c>
      <c r="E179" s="358"/>
      <c r="F179" s="358"/>
      <c r="G179" s="83"/>
      <c r="H179" s="72"/>
      <c r="I179" s="72"/>
      <c r="J179" s="72"/>
      <c r="K179" s="72"/>
      <c r="L179" s="72"/>
      <c r="M179" s="72"/>
      <c r="N179" s="72"/>
      <c r="O179" s="72"/>
    </row>
    <row r="180" spans="1:15" s="26" customFormat="1" x14ac:dyDescent="0.2">
      <c r="A180" s="5"/>
      <c r="C180" s="359" t="s">
        <v>786</v>
      </c>
      <c r="D180" s="360">
        <v>30.08</v>
      </c>
      <c r="E180" s="358"/>
      <c r="F180" s="358"/>
      <c r="G180" s="83"/>
      <c r="H180" s="72"/>
      <c r="I180" s="72"/>
      <c r="J180" s="72"/>
      <c r="K180" s="72"/>
      <c r="L180" s="72"/>
      <c r="M180" s="72"/>
      <c r="N180" s="72"/>
      <c r="O180" s="72"/>
    </row>
    <row r="181" spans="1:15" s="26" customFormat="1" x14ac:dyDescent="0.2">
      <c r="A181" s="5"/>
      <c r="C181" s="359" t="s">
        <v>787</v>
      </c>
      <c r="D181" s="360">
        <v>46.61</v>
      </c>
      <c r="E181" s="358"/>
      <c r="F181" s="358"/>
      <c r="G181" s="83"/>
      <c r="H181" s="72"/>
      <c r="I181" s="72"/>
      <c r="J181" s="72"/>
      <c r="K181" s="72"/>
      <c r="L181" s="72"/>
      <c r="M181" s="72"/>
      <c r="N181" s="72"/>
      <c r="O181" s="72"/>
    </row>
    <row r="182" spans="1:15" s="26" customFormat="1" x14ac:dyDescent="0.2">
      <c r="A182" s="5"/>
      <c r="C182" s="359" t="s">
        <v>788</v>
      </c>
      <c r="D182" s="360">
        <v>12.71</v>
      </c>
      <c r="E182" s="358"/>
      <c r="F182" s="358"/>
      <c r="G182" s="83"/>
      <c r="H182" s="72"/>
      <c r="I182" s="72"/>
      <c r="J182" s="72"/>
      <c r="K182" s="72"/>
      <c r="L182" s="72"/>
      <c r="M182" s="72"/>
      <c r="N182" s="72"/>
      <c r="O182" s="72"/>
    </row>
    <row r="183" spans="1:15" s="26" customFormat="1" x14ac:dyDescent="0.2">
      <c r="A183" s="5"/>
      <c r="C183" s="359" t="s">
        <v>789</v>
      </c>
      <c r="D183" s="361">
        <v>0.85</v>
      </c>
      <c r="E183" s="358"/>
      <c r="F183" s="358"/>
      <c r="G183" s="83"/>
      <c r="H183" s="72"/>
      <c r="I183" s="72"/>
      <c r="J183" s="72"/>
      <c r="K183" s="72"/>
      <c r="L183" s="72"/>
      <c r="M183" s="72"/>
      <c r="N183" s="72"/>
      <c r="O183" s="72"/>
    </row>
    <row r="184" spans="1:15" s="26" customFormat="1" ht="13.5" thickBot="1" x14ac:dyDescent="0.25">
      <c r="A184" s="5"/>
      <c r="C184" s="359" t="s">
        <v>790</v>
      </c>
      <c r="D184" s="362">
        <v>0</v>
      </c>
      <c r="E184" s="358"/>
      <c r="F184" s="358"/>
      <c r="G184" s="83"/>
      <c r="H184" s="72"/>
      <c r="I184" s="72"/>
      <c r="J184" s="72"/>
      <c r="K184" s="72"/>
      <c r="L184" s="72"/>
      <c r="M184" s="72"/>
      <c r="N184" s="72"/>
      <c r="O184" s="72"/>
    </row>
    <row r="185" spans="1:15" s="26" customFormat="1" ht="13.5" thickTop="1" x14ac:dyDescent="0.2">
      <c r="A185" s="5"/>
      <c r="C185" s="363" t="s">
        <v>468</v>
      </c>
      <c r="D185" s="364">
        <f>SUM(D179:D184)/100</f>
        <v>1</v>
      </c>
      <c r="E185" s="358"/>
      <c r="F185" s="358"/>
      <c r="G185" s="83"/>
      <c r="H185" s="72"/>
      <c r="I185" s="72"/>
      <c r="J185" s="72"/>
      <c r="K185" s="72"/>
      <c r="L185" s="72"/>
      <c r="M185" s="72"/>
      <c r="N185" s="72"/>
      <c r="O185" s="72"/>
    </row>
    <row r="186" spans="1:15" x14ac:dyDescent="0.2">
      <c r="A186" s="365"/>
      <c r="B186" s="26"/>
      <c r="C186" s="366"/>
      <c r="D186" s="366"/>
      <c r="E186" s="3"/>
      <c r="F186" s="3"/>
    </row>
    <row r="187" spans="1:15" x14ac:dyDescent="0.2">
      <c r="A187" s="5"/>
      <c r="C187" s="350" t="s">
        <v>784</v>
      </c>
      <c r="D187" s="193" t="s">
        <v>192</v>
      </c>
      <c r="E187" s="193" t="s">
        <v>193</v>
      </c>
      <c r="F187" s="193" t="s">
        <v>194</v>
      </c>
    </row>
    <row r="188" spans="1:15" x14ac:dyDescent="0.2">
      <c r="A188" s="5"/>
      <c r="C188" s="351" t="s">
        <v>292</v>
      </c>
      <c r="D188" s="352">
        <v>0.2414</v>
      </c>
      <c r="E188" s="352">
        <v>0.28839999999999999</v>
      </c>
      <c r="F188" s="352">
        <v>0.13109999999999999</v>
      </c>
    </row>
    <row r="189" spans="1:15" x14ac:dyDescent="0.2">
      <c r="A189" s="5"/>
      <c r="C189" s="351" t="s">
        <v>293</v>
      </c>
      <c r="D189" s="352">
        <v>0.36449999999999999</v>
      </c>
      <c r="E189" s="352">
        <v>0.28939999999999999</v>
      </c>
      <c r="F189" s="352">
        <v>0.39739999999999998</v>
      </c>
    </row>
    <row r="190" spans="1:15" x14ac:dyDescent="0.2">
      <c r="A190" s="5"/>
      <c r="C190" s="351" t="s">
        <v>294</v>
      </c>
      <c r="D190" s="352">
        <v>0.31509999999999999</v>
      </c>
      <c r="E190" s="352">
        <v>0.3135</v>
      </c>
      <c r="F190" s="352">
        <v>0.29859999999999998</v>
      </c>
    </row>
    <row r="191" spans="1:15" x14ac:dyDescent="0.2">
      <c r="A191" s="5"/>
      <c r="C191" s="367" t="s">
        <v>295</v>
      </c>
      <c r="D191" s="352">
        <v>7.8399999999999997E-2</v>
      </c>
      <c r="E191" s="352">
        <v>9.3799999999999994E-2</v>
      </c>
      <c r="F191" s="352">
        <v>0.1729</v>
      </c>
    </row>
    <row r="192" spans="1:15" x14ac:dyDescent="0.2">
      <c r="A192" s="5"/>
      <c r="C192" s="367" t="s">
        <v>296</v>
      </c>
      <c r="D192" s="352">
        <v>6.9999999999999994E-5</v>
      </c>
      <c r="E192" s="352">
        <v>1.4500000000000001E-2</v>
      </c>
      <c r="F192" s="352">
        <v>0</v>
      </c>
    </row>
    <row r="193" spans="1:8" ht="13.5" thickBot="1" x14ac:dyDescent="0.25">
      <c r="A193" s="5"/>
      <c r="C193" s="351" t="s">
        <v>297</v>
      </c>
      <c r="D193" s="368">
        <v>0</v>
      </c>
      <c r="E193" s="368">
        <v>2.9999999999999997E-4</v>
      </c>
      <c r="F193" s="368">
        <v>0</v>
      </c>
    </row>
    <row r="194" spans="1:8" ht="13.5" thickTop="1" x14ac:dyDescent="0.2">
      <c r="C194" s="354" t="s">
        <v>468</v>
      </c>
      <c r="D194" s="369">
        <f>SUM(D188:D193)</f>
        <v>0.99947000000000008</v>
      </c>
      <c r="E194" s="369">
        <f>SUM(E188:E193)</f>
        <v>0.9998999999999999</v>
      </c>
      <c r="F194" s="369">
        <f>SUM(F188:F193)</f>
        <v>1</v>
      </c>
    </row>
    <row r="195" spans="1:8" x14ac:dyDescent="0.2">
      <c r="C195" s="370"/>
      <c r="D195" s="370"/>
      <c r="E195" s="370"/>
    </row>
    <row r="196" spans="1:8" ht="46.5" customHeight="1" x14ac:dyDescent="0.2">
      <c r="A196" s="371" t="s">
        <v>424</v>
      </c>
      <c r="B196" s="310" t="s">
        <v>85</v>
      </c>
      <c r="C196" s="310"/>
      <c r="D196" s="310"/>
      <c r="E196" s="310"/>
      <c r="F196" s="310"/>
    </row>
    <row r="197" spans="1:8" x14ac:dyDescent="0.2">
      <c r="A197" s="5"/>
      <c r="B197" s="372"/>
      <c r="C197" s="373" t="s">
        <v>783</v>
      </c>
      <c r="D197" s="374"/>
      <c r="E197" s="375" t="s">
        <v>780</v>
      </c>
      <c r="F197" s="347"/>
    </row>
    <row r="198" spans="1:8" x14ac:dyDescent="0.2">
      <c r="A198" s="5"/>
      <c r="C198" s="376" t="s">
        <v>836</v>
      </c>
      <c r="D198" s="376"/>
      <c r="E198" s="377">
        <v>0.29399999999999998</v>
      </c>
      <c r="F198" s="319"/>
    </row>
    <row r="199" spans="1:8" ht="12.95" customHeight="1" x14ac:dyDescent="0.2">
      <c r="A199" s="5"/>
      <c r="C199" s="378" t="s">
        <v>837</v>
      </c>
      <c r="D199" s="378"/>
      <c r="E199" s="377">
        <v>0.55310000000000004</v>
      </c>
      <c r="F199" s="319"/>
    </row>
    <row r="200" spans="1:8" ht="12.95" customHeight="1" x14ac:dyDescent="0.2">
      <c r="A200" s="5"/>
      <c r="C200" s="378" t="s">
        <v>838</v>
      </c>
      <c r="D200" s="378"/>
      <c r="E200" s="377">
        <v>0.8014</v>
      </c>
      <c r="F200" s="379" t="s">
        <v>346</v>
      </c>
      <c r="H200" s="380"/>
    </row>
    <row r="201" spans="1:8" ht="12.95" customHeight="1" x14ac:dyDescent="0.2">
      <c r="A201" s="5"/>
      <c r="C201" s="378" t="s">
        <v>839</v>
      </c>
      <c r="D201" s="378"/>
      <c r="E201" s="377">
        <v>0.1986</v>
      </c>
      <c r="F201" s="379" t="s">
        <v>347</v>
      </c>
    </row>
    <row r="202" spans="1:8" ht="12.95" customHeight="1" x14ac:dyDescent="0.2">
      <c r="A202" s="5"/>
      <c r="C202" s="378" t="s">
        <v>840</v>
      </c>
      <c r="D202" s="378"/>
      <c r="E202" s="377">
        <v>4.7300000000000002E-2</v>
      </c>
      <c r="F202" s="319"/>
    </row>
    <row r="203" spans="1:8" ht="12.95" customHeight="1" x14ac:dyDescent="0.2">
      <c r="A203" s="5"/>
      <c r="C203" s="378" t="s">
        <v>841</v>
      </c>
      <c r="D203" s="378"/>
      <c r="E203" s="381">
        <v>0.38300000000000001</v>
      </c>
      <c r="H203" s="83">
        <f>1289/3367</f>
        <v>0.38283338283338281</v>
      </c>
    </row>
    <row r="204" spans="1:8" ht="25.5" customHeight="1" x14ac:dyDescent="0.2">
      <c r="F204" s="176"/>
    </row>
    <row r="205" spans="1:8" ht="38.25" customHeight="1" x14ac:dyDescent="0.2">
      <c r="A205" s="5" t="s">
        <v>425</v>
      </c>
      <c r="B205" s="261" t="s">
        <v>508</v>
      </c>
      <c r="C205" s="4"/>
      <c r="D205" s="4"/>
      <c r="E205" s="4"/>
      <c r="F205" s="4"/>
    </row>
    <row r="206" spans="1:8" x14ac:dyDescent="0.2">
      <c r="A206" s="5"/>
      <c r="B206" s="294"/>
      <c r="C206" s="7"/>
      <c r="D206" s="7"/>
      <c r="E206" s="7"/>
      <c r="F206" s="7"/>
    </row>
    <row r="207" spans="1:8" x14ac:dyDescent="0.2">
      <c r="A207" s="5"/>
      <c r="B207" s="372"/>
      <c r="C207" s="373" t="s">
        <v>784</v>
      </c>
      <c r="D207" s="374"/>
      <c r="E207" s="375" t="s">
        <v>780</v>
      </c>
      <c r="F207" s="7"/>
    </row>
    <row r="208" spans="1:8" ht="13.5" customHeight="1" x14ac:dyDescent="0.2">
      <c r="A208" s="5"/>
      <c r="C208" s="382" t="s">
        <v>755</v>
      </c>
      <c r="D208" s="383"/>
      <c r="E208" s="384">
        <v>0.29780000000000001</v>
      </c>
      <c r="F208" s="7"/>
    </row>
    <row r="209" spans="1:8" ht="12.75" customHeight="1" x14ac:dyDescent="0.2">
      <c r="A209" s="5"/>
      <c r="C209" s="385" t="s">
        <v>756</v>
      </c>
      <c r="D209" s="386"/>
      <c r="E209" s="384">
        <v>0.2205</v>
      </c>
      <c r="F209" s="319"/>
    </row>
    <row r="210" spans="1:8" x14ac:dyDescent="0.2">
      <c r="A210" s="5"/>
      <c r="C210" s="387" t="s">
        <v>12</v>
      </c>
      <c r="D210" s="388"/>
      <c r="E210" s="384">
        <v>0.18329999999999999</v>
      </c>
      <c r="F210" s="319"/>
    </row>
    <row r="211" spans="1:8" x14ac:dyDescent="0.2">
      <c r="A211" s="5"/>
      <c r="C211" s="387" t="s">
        <v>13</v>
      </c>
      <c r="D211" s="388"/>
      <c r="E211" s="384">
        <v>0.1065</v>
      </c>
      <c r="F211" s="319"/>
    </row>
    <row r="212" spans="1:8" x14ac:dyDescent="0.2">
      <c r="A212" s="5"/>
      <c r="C212" s="387" t="s">
        <v>14</v>
      </c>
      <c r="D212" s="388"/>
      <c r="E212" s="384">
        <v>7.9399999999999998E-2</v>
      </c>
      <c r="F212" s="319"/>
    </row>
    <row r="213" spans="1:8" x14ac:dyDescent="0.2">
      <c r="A213" s="5"/>
      <c r="C213" s="387" t="s">
        <v>15</v>
      </c>
      <c r="D213" s="388"/>
      <c r="E213" s="384">
        <v>8.6599999999999996E-2</v>
      </c>
      <c r="F213" s="319"/>
    </row>
    <row r="214" spans="1:8" x14ac:dyDescent="0.2">
      <c r="A214" s="5"/>
      <c r="C214" s="387" t="s">
        <v>16</v>
      </c>
      <c r="D214" s="388"/>
      <c r="E214" s="384">
        <v>2.5899999999999999E-2</v>
      </c>
      <c r="F214" s="319"/>
    </row>
    <row r="215" spans="1:8" x14ac:dyDescent="0.2">
      <c r="A215" s="5"/>
      <c r="C215" s="387" t="s">
        <v>209</v>
      </c>
      <c r="D215" s="388"/>
      <c r="E215" s="384">
        <v>0</v>
      </c>
      <c r="F215" s="319"/>
    </row>
    <row r="216" spans="1:8" ht="13.5" thickBot="1" x14ac:dyDescent="0.25">
      <c r="A216" s="5"/>
      <c r="C216" s="387" t="s">
        <v>210</v>
      </c>
      <c r="D216" s="388"/>
      <c r="E216" s="389">
        <v>2.9999999999999997E-4</v>
      </c>
      <c r="F216" s="319"/>
    </row>
    <row r="217" spans="1:8" ht="13.5" thickTop="1" x14ac:dyDescent="0.2">
      <c r="C217" s="390" t="s">
        <v>468</v>
      </c>
      <c r="D217" s="391"/>
      <c r="E217" s="392">
        <f>SUM(E208:E216)</f>
        <v>1.0003</v>
      </c>
    </row>
    <row r="218" spans="1:8" x14ac:dyDescent="0.2">
      <c r="E218" s="191"/>
    </row>
    <row r="219" spans="1:8" ht="31.5" customHeight="1" x14ac:dyDescent="0.2">
      <c r="A219" s="5" t="s">
        <v>426</v>
      </c>
      <c r="B219" s="393" t="s">
        <v>509</v>
      </c>
      <c r="C219" s="394"/>
      <c r="D219" s="394"/>
      <c r="E219" s="395">
        <v>3.61</v>
      </c>
      <c r="F219" s="396"/>
    </row>
    <row r="220" spans="1:8" ht="27" customHeight="1" x14ac:dyDescent="0.2">
      <c r="A220" s="5"/>
      <c r="B220" s="303" t="s">
        <v>543</v>
      </c>
      <c r="C220" s="394"/>
      <c r="D220" s="394"/>
      <c r="E220" s="384">
        <v>0.998</v>
      </c>
      <c r="F220" s="319"/>
      <c r="H220" s="83">
        <f>3361/3367</f>
        <v>0.99821799821799817</v>
      </c>
    </row>
    <row r="221" spans="1:8" ht="18" customHeight="1" x14ac:dyDescent="0.2"/>
    <row r="222" spans="1:8" ht="21" customHeight="1" x14ac:dyDescent="0.25">
      <c r="B222" s="162" t="s">
        <v>211</v>
      </c>
    </row>
    <row r="223" spans="1:8" ht="15.75" x14ac:dyDescent="0.25">
      <c r="B223" s="162"/>
    </row>
    <row r="224" spans="1:8" x14ac:dyDescent="0.2">
      <c r="A224" s="5" t="s">
        <v>427</v>
      </c>
      <c r="B224" s="6" t="s">
        <v>212</v>
      </c>
    </row>
    <row r="225" spans="1:8" x14ac:dyDescent="0.2">
      <c r="A225" s="5"/>
      <c r="B225" s="6"/>
      <c r="C225" s="26"/>
      <c r="D225" s="185" t="s">
        <v>344</v>
      </c>
      <c r="E225" s="185" t="s">
        <v>345</v>
      </c>
      <c r="G225" s="267"/>
    </row>
    <row r="226" spans="1:8" x14ac:dyDescent="0.2">
      <c r="A226" s="5"/>
      <c r="B226" s="397" t="s">
        <v>213</v>
      </c>
      <c r="C226" s="397"/>
      <c r="D226" s="189" t="s">
        <v>684</v>
      </c>
      <c r="E226" s="398"/>
      <c r="F226" s="176"/>
      <c r="H226" s="268"/>
    </row>
    <row r="227" spans="1:8" x14ac:dyDescent="0.2">
      <c r="A227" s="5"/>
      <c r="B227" s="397" t="s">
        <v>791</v>
      </c>
      <c r="C227" s="397"/>
      <c r="D227" s="399">
        <v>40</v>
      </c>
      <c r="F227" s="400"/>
    </row>
    <row r="228" spans="1:8" x14ac:dyDescent="0.2">
      <c r="A228" s="5"/>
      <c r="B228" s="149"/>
      <c r="C228" s="401"/>
      <c r="F228" s="400"/>
    </row>
    <row r="229" spans="1:8" x14ac:dyDescent="0.2">
      <c r="A229" s="5"/>
      <c r="B229" s="252"/>
      <c r="C229" s="314"/>
      <c r="D229" s="185" t="s">
        <v>344</v>
      </c>
      <c r="E229" s="185" t="s">
        <v>345</v>
      </c>
      <c r="G229" s="267"/>
    </row>
    <row r="230" spans="1:8" x14ac:dyDescent="0.2">
      <c r="A230" s="5"/>
      <c r="B230" s="402" t="s">
        <v>214</v>
      </c>
      <c r="C230" s="402"/>
      <c r="D230" s="189" t="s">
        <v>684</v>
      </c>
      <c r="E230" s="398"/>
      <c r="F230" s="176"/>
      <c r="H230" s="268"/>
    </row>
    <row r="231" spans="1:8" x14ac:dyDescent="0.2">
      <c r="A231" s="5"/>
      <c r="B231" s="7"/>
      <c r="C231" s="242"/>
      <c r="D231" s="242"/>
      <c r="F231" s="176"/>
    </row>
    <row r="232" spans="1:8" ht="26.1" customHeight="1" x14ac:dyDescent="0.2">
      <c r="A232" s="5"/>
      <c r="B232" s="164" t="s">
        <v>17</v>
      </c>
      <c r="C232" s="164"/>
      <c r="D232" s="164"/>
      <c r="E232" s="164"/>
      <c r="F232" s="164"/>
    </row>
    <row r="233" spans="1:8" x14ac:dyDescent="0.2">
      <c r="A233" s="5"/>
      <c r="B233" s="142"/>
      <c r="C233" s="142"/>
      <c r="D233" s="142"/>
      <c r="E233" s="142"/>
      <c r="F233" s="176"/>
    </row>
    <row r="234" spans="1:8" x14ac:dyDescent="0.2">
      <c r="A234" s="189" t="s">
        <v>684</v>
      </c>
      <c r="B234" s="287" t="s">
        <v>792</v>
      </c>
      <c r="C234" s="403"/>
      <c r="D234" s="314"/>
      <c r="E234" s="26"/>
      <c r="F234" s="176"/>
    </row>
    <row r="235" spans="1:8" x14ac:dyDescent="0.2">
      <c r="A235" s="207"/>
      <c r="B235" s="287" t="s">
        <v>793</v>
      </c>
      <c r="C235" s="403"/>
      <c r="D235" s="314"/>
      <c r="E235" s="26"/>
      <c r="F235" s="176"/>
    </row>
    <row r="236" spans="1:8" x14ac:dyDescent="0.2">
      <c r="A236" s="207"/>
      <c r="B236" s="287" t="s">
        <v>794</v>
      </c>
      <c r="C236" s="403"/>
      <c r="D236" s="314"/>
      <c r="E236" s="26"/>
      <c r="F236" s="176"/>
    </row>
    <row r="237" spans="1:8" x14ac:dyDescent="0.2">
      <c r="B237" s="7"/>
      <c r="C237" s="242"/>
      <c r="D237" s="242"/>
      <c r="F237" s="176"/>
    </row>
    <row r="238" spans="1:8" x14ac:dyDescent="0.2">
      <c r="A238" s="5"/>
      <c r="B238" s="252"/>
      <c r="C238" s="314"/>
      <c r="D238" s="185" t="s">
        <v>344</v>
      </c>
      <c r="E238" s="185" t="s">
        <v>345</v>
      </c>
      <c r="F238" s="176"/>
    </row>
    <row r="239" spans="1:8" ht="26.45" customHeight="1" x14ac:dyDescent="0.2">
      <c r="A239" s="5"/>
      <c r="B239" s="164" t="s">
        <v>18</v>
      </c>
      <c r="C239" s="404"/>
      <c r="D239" s="189" t="s">
        <v>684</v>
      </c>
      <c r="E239" s="398"/>
      <c r="F239" s="176"/>
    </row>
    <row r="241" spans="1:15" x14ac:dyDescent="0.2">
      <c r="A241" s="5" t="s">
        <v>428</v>
      </c>
      <c r="B241" s="6" t="s">
        <v>215</v>
      </c>
    </row>
    <row r="242" spans="1:15" x14ac:dyDescent="0.2">
      <c r="A242" s="5"/>
      <c r="B242" s="252"/>
      <c r="C242" s="314"/>
      <c r="D242" s="185" t="s">
        <v>344</v>
      </c>
      <c r="E242" s="185" t="s">
        <v>345</v>
      </c>
      <c r="G242" s="267"/>
    </row>
    <row r="243" spans="1:15" x14ac:dyDescent="0.2">
      <c r="A243" s="5"/>
      <c r="B243" s="28" t="s">
        <v>216</v>
      </c>
      <c r="C243" s="405"/>
      <c r="D243" s="398"/>
      <c r="E243" s="189" t="s">
        <v>684</v>
      </c>
      <c r="F243" s="176"/>
      <c r="H243" s="268"/>
    </row>
    <row r="244" spans="1:15" x14ac:dyDescent="0.2">
      <c r="A244" s="5"/>
      <c r="B244" s="252"/>
      <c r="C244" s="406"/>
    </row>
    <row r="245" spans="1:15" x14ac:dyDescent="0.2">
      <c r="A245" s="5"/>
      <c r="C245" s="252"/>
      <c r="D245" s="407" t="s">
        <v>795</v>
      </c>
    </row>
    <row r="246" spans="1:15" s="26" customFormat="1" x14ac:dyDescent="0.2">
      <c r="A246" s="5"/>
      <c r="C246" s="252" t="s">
        <v>215</v>
      </c>
      <c r="D246" s="408"/>
      <c r="G246" s="83"/>
      <c r="H246" s="72"/>
      <c r="I246" s="72"/>
      <c r="J246" s="72"/>
      <c r="K246" s="72"/>
      <c r="L246" s="72"/>
      <c r="M246" s="72"/>
      <c r="N246" s="72"/>
      <c r="O246" s="72"/>
    </row>
    <row r="247" spans="1:15" s="26" customFormat="1" x14ac:dyDescent="0.2">
      <c r="A247" s="365"/>
      <c r="C247" s="252" t="s">
        <v>338</v>
      </c>
      <c r="D247" s="408"/>
      <c r="G247" s="83"/>
      <c r="H247" s="72"/>
      <c r="I247" s="72"/>
      <c r="J247" s="72"/>
      <c r="K247" s="72"/>
      <c r="L247" s="72"/>
      <c r="M247" s="72"/>
      <c r="N247" s="72"/>
      <c r="O247" s="72"/>
    </row>
    <row r="248" spans="1:15" x14ac:dyDescent="0.2">
      <c r="B248" s="409"/>
    </row>
    <row r="249" spans="1:15" x14ac:dyDescent="0.2">
      <c r="A249" s="5"/>
      <c r="B249" s="260"/>
      <c r="C249" s="74"/>
      <c r="D249" s="74"/>
      <c r="E249" s="185" t="s">
        <v>344</v>
      </c>
      <c r="F249" s="185" t="s">
        <v>345</v>
      </c>
      <c r="G249" s="267"/>
    </row>
    <row r="250" spans="1:15" x14ac:dyDescent="0.2">
      <c r="A250" s="5" t="s">
        <v>429</v>
      </c>
      <c r="B250" s="164" t="s">
        <v>19</v>
      </c>
      <c r="C250" s="164"/>
      <c r="D250" s="164"/>
      <c r="E250" s="189" t="s">
        <v>684</v>
      </c>
      <c r="F250" s="207"/>
      <c r="H250" s="268"/>
    </row>
    <row r="252" spans="1:15" x14ac:dyDescent="0.2">
      <c r="A252" s="5" t="s">
        <v>430</v>
      </c>
      <c r="B252" s="256" t="s">
        <v>544</v>
      </c>
    </row>
    <row r="253" spans="1:15" x14ac:dyDescent="0.2">
      <c r="A253" s="5"/>
      <c r="B253" s="256"/>
      <c r="C253" s="26"/>
    </row>
    <row r="254" spans="1:15" ht="25.5" x14ac:dyDescent="0.2">
      <c r="A254" s="189" t="s">
        <v>684</v>
      </c>
      <c r="B254" s="287" t="s">
        <v>545</v>
      </c>
      <c r="C254" s="410">
        <v>44788</v>
      </c>
    </row>
    <row r="255" spans="1:15" x14ac:dyDescent="0.2">
      <c r="A255" s="207"/>
      <c r="B255" s="411" t="s">
        <v>546</v>
      </c>
      <c r="C255" s="412"/>
    </row>
    <row r="256" spans="1:15" x14ac:dyDescent="0.2">
      <c r="A256" s="207"/>
      <c r="B256" s="411" t="s">
        <v>547</v>
      </c>
      <c r="C256" s="413"/>
    </row>
    <row r="258" spans="1:4" x14ac:dyDescent="0.2">
      <c r="A258" s="5" t="s">
        <v>431</v>
      </c>
      <c r="B258" s="6" t="s">
        <v>476</v>
      </c>
    </row>
    <row r="259" spans="1:4" x14ac:dyDescent="0.2">
      <c r="A259" s="5"/>
      <c r="B259" s="294"/>
      <c r="C259" s="406"/>
      <c r="D259" s="26"/>
    </row>
    <row r="260" spans="1:4" x14ac:dyDescent="0.2">
      <c r="A260" s="207"/>
      <c r="B260" s="287" t="s">
        <v>796</v>
      </c>
      <c r="C260" s="414"/>
      <c r="D260" s="26"/>
    </row>
    <row r="261" spans="1:4" x14ac:dyDescent="0.2">
      <c r="A261" s="189" t="s">
        <v>684</v>
      </c>
      <c r="B261" s="411" t="s">
        <v>797</v>
      </c>
      <c r="C261" s="412"/>
      <c r="D261" s="26"/>
    </row>
    <row r="262" spans="1:4" x14ac:dyDescent="0.2">
      <c r="A262" s="207"/>
      <c r="B262" s="411" t="s">
        <v>798</v>
      </c>
      <c r="C262" s="413"/>
      <c r="D262" s="330" t="s">
        <v>799</v>
      </c>
    </row>
    <row r="263" spans="1:4" x14ac:dyDescent="0.2">
      <c r="A263" s="207"/>
      <c r="B263" s="411" t="s">
        <v>800</v>
      </c>
      <c r="C263" s="413"/>
      <c r="D263" s="26"/>
    </row>
    <row r="264" spans="1:4" x14ac:dyDescent="0.2">
      <c r="A264" s="314"/>
      <c r="B264" s="411"/>
      <c r="C264" s="329"/>
      <c r="D264" s="26"/>
    </row>
    <row r="265" spans="1:4" x14ac:dyDescent="0.2">
      <c r="A265" s="5"/>
      <c r="B265" s="415" t="s">
        <v>318</v>
      </c>
      <c r="D265" s="410">
        <v>44652</v>
      </c>
    </row>
    <row r="266" spans="1:4" x14ac:dyDescent="0.2">
      <c r="A266" s="5"/>
      <c r="B266" s="416" t="s">
        <v>733</v>
      </c>
      <c r="C266" s="55"/>
      <c r="D266" s="417">
        <v>75</v>
      </c>
    </row>
    <row r="267" spans="1:4" x14ac:dyDescent="0.2">
      <c r="A267" s="5"/>
      <c r="B267" s="252"/>
      <c r="D267" s="418"/>
    </row>
    <row r="268" spans="1:4" x14ac:dyDescent="0.2">
      <c r="A268" s="5"/>
      <c r="B268" s="416" t="s">
        <v>20</v>
      </c>
      <c r="C268" s="55"/>
    </row>
    <row r="269" spans="1:4" x14ac:dyDescent="0.2">
      <c r="A269" s="5"/>
      <c r="B269" s="252"/>
    </row>
    <row r="270" spans="1:4" x14ac:dyDescent="0.2">
      <c r="A270" s="207"/>
      <c r="B270" s="411" t="s">
        <v>801</v>
      </c>
      <c r="C270" s="419"/>
    </row>
    <row r="271" spans="1:4" x14ac:dyDescent="0.2">
      <c r="A271" s="207"/>
      <c r="B271" s="411" t="s">
        <v>802</v>
      </c>
      <c r="C271" s="419"/>
    </row>
    <row r="272" spans="1:4" x14ac:dyDescent="0.2">
      <c r="A272" s="189" t="s">
        <v>684</v>
      </c>
      <c r="B272" s="411" t="s">
        <v>345</v>
      </c>
      <c r="C272" s="213"/>
    </row>
    <row r="274" spans="1:7" ht="20.45" customHeight="1" x14ac:dyDescent="0.2">
      <c r="A274" s="5" t="s">
        <v>432</v>
      </c>
      <c r="B274" s="6" t="s">
        <v>217</v>
      </c>
    </row>
    <row r="275" spans="1:7" x14ac:dyDescent="0.2">
      <c r="A275" s="5"/>
      <c r="B275" s="260"/>
      <c r="C275" s="74"/>
      <c r="D275" s="74"/>
      <c r="F275" s="185" t="s">
        <v>344</v>
      </c>
      <c r="G275" s="185" t="s">
        <v>345</v>
      </c>
    </row>
    <row r="276" spans="1:7" ht="12.95" customHeight="1" x14ac:dyDescent="0.2">
      <c r="A276" s="5"/>
      <c r="B276" s="28" t="s">
        <v>218</v>
      </c>
      <c r="C276" s="28"/>
      <c r="D276" s="28"/>
      <c r="E276" s="405"/>
      <c r="F276" s="207"/>
      <c r="G276" s="189" t="s">
        <v>684</v>
      </c>
    </row>
    <row r="277" spans="1:7" x14ac:dyDescent="0.2">
      <c r="B277" s="420" t="s">
        <v>803</v>
      </c>
      <c r="C277" s="420"/>
      <c r="D277" s="414"/>
      <c r="E277" s="26"/>
      <c r="F277" s="329"/>
    </row>
    <row r="278" spans="1:7" x14ac:dyDescent="0.2">
      <c r="B278" s="421"/>
      <c r="C278" s="421"/>
      <c r="D278" s="329"/>
      <c r="E278" s="26"/>
      <c r="F278" s="329"/>
    </row>
    <row r="279" spans="1:7" x14ac:dyDescent="0.2">
      <c r="A279" s="5" t="s">
        <v>433</v>
      </c>
      <c r="B279" s="6" t="s">
        <v>219</v>
      </c>
    </row>
    <row r="280" spans="1:7" x14ac:dyDescent="0.2">
      <c r="A280" s="5"/>
      <c r="B280" s="260"/>
      <c r="C280" s="74"/>
      <c r="D280" s="74"/>
      <c r="F280" s="185" t="s">
        <v>344</v>
      </c>
      <c r="G280" s="185" t="s">
        <v>345</v>
      </c>
    </row>
    <row r="281" spans="1:7" ht="27.95" customHeight="1" x14ac:dyDescent="0.2">
      <c r="A281" s="5"/>
      <c r="B281" s="28" t="s">
        <v>577</v>
      </c>
      <c r="C281" s="28"/>
      <c r="D281" s="28"/>
      <c r="E281" s="405"/>
      <c r="F281" s="189"/>
      <c r="G281" s="189" t="s">
        <v>684</v>
      </c>
    </row>
    <row r="282" spans="1:7" x14ac:dyDescent="0.2">
      <c r="A282" s="5"/>
      <c r="B282" s="347"/>
      <c r="C282" s="347"/>
      <c r="D282" s="347"/>
      <c r="E282" s="242"/>
      <c r="F282" s="213"/>
    </row>
    <row r="283" spans="1:7" ht="15.75" x14ac:dyDescent="0.25">
      <c r="B283" s="162" t="s">
        <v>220</v>
      </c>
    </row>
    <row r="284" spans="1:7" x14ac:dyDescent="0.2">
      <c r="A284" s="5" t="s">
        <v>434</v>
      </c>
      <c r="B284" s="6" t="s">
        <v>348</v>
      </c>
    </row>
    <row r="285" spans="1:7" x14ac:dyDescent="0.2">
      <c r="A285" s="5"/>
      <c r="B285" s="260"/>
      <c r="C285" s="74"/>
      <c r="D285" s="74"/>
      <c r="F285" s="185" t="s">
        <v>344</v>
      </c>
      <c r="G285" s="185" t="s">
        <v>345</v>
      </c>
    </row>
    <row r="286" spans="1:7" ht="54.95" customHeight="1" x14ac:dyDescent="0.2">
      <c r="A286" s="5"/>
      <c r="B286" s="28" t="s">
        <v>349</v>
      </c>
      <c r="C286" s="28"/>
      <c r="D286" s="28"/>
      <c r="E286" s="405"/>
      <c r="F286" s="207"/>
      <c r="G286" s="189" t="s">
        <v>684</v>
      </c>
    </row>
    <row r="288" spans="1:7" x14ac:dyDescent="0.2">
      <c r="A288" s="5" t="s">
        <v>435</v>
      </c>
      <c r="B288" s="6" t="s">
        <v>221</v>
      </c>
    </row>
    <row r="289" spans="1:7" x14ac:dyDescent="0.2">
      <c r="A289" s="5"/>
      <c r="B289" s="260"/>
      <c r="C289" s="74"/>
      <c r="D289" s="74"/>
      <c r="F289" s="185" t="s">
        <v>344</v>
      </c>
      <c r="G289" s="185" t="s">
        <v>345</v>
      </c>
    </row>
    <row r="290" spans="1:7" ht="38.1" customHeight="1" x14ac:dyDescent="0.2">
      <c r="A290" s="5"/>
      <c r="B290" s="216" t="s">
        <v>21</v>
      </c>
      <c r="C290" s="216"/>
      <c r="D290" s="216"/>
      <c r="E290" s="393"/>
      <c r="F290" s="202"/>
      <c r="G290" s="189" t="s">
        <v>684</v>
      </c>
    </row>
  </sheetData>
  <sheetProtection algorithmName="SHA-512" hashValue="6dqDlc3nJg46NUewOxv79bjDbaOvq8N3BG72H3aF8HzM3vV5vZ2+zbuYKRVI2/YK62+gXmiXMFS43m5d1Pqo4g==" saltValue="QATBB2MTBwXbSCT58wcHwg==" spinCount="100000" sheet="1" objects="1" scenarios="1"/>
  <mergeCells count="123">
    <mergeCell ref="B290:E290"/>
    <mergeCell ref="B276:E276"/>
    <mergeCell ref="B8:F8"/>
    <mergeCell ref="B7:F7"/>
    <mergeCell ref="B6:F6"/>
    <mergeCell ref="B22:F22"/>
    <mergeCell ref="B27:D27"/>
    <mergeCell ref="B38:F38"/>
    <mergeCell ref="A1:G1"/>
    <mergeCell ref="B9:D9"/>
    <mergeCell ref="B10:D10"/>
    <mergeCell ref="B12:D12"/>
    <mergeCell ref="B62:D62"/>
    <mergeCell ref="B15:D15"/>
    <mergeCell ref="B16:D16"/>
    <mergeCell ref="B21:F21"/>
    <mergeCell ref="B18:D18"/>
    <mergeCell ref="B19:D19"/>
    <mergeCell ref="B24:D24"/>
    <mergeCell ref="B23:D23"/>
    <mergeCell ref="B25:D25"/>
    <mergeCell ref="B28:D28"/>
    <mergeCell ref="B29:D29"/>
    <mergeCell ref="B39:D39"/>
    <mergeCell ref="B289:D289"/>
    <mergeCell ref="B275:D275"/>
    <mergeCell ref="B280:D280"/>
    <mergeCell ref="B285:D285"/>
    <mergeCell ref="B266:C266"/>
    <mergeCell ref="B268:C268"/>
    <mergeCell ref="B277:C277"/>
    <mergeCell ref="B281:E281"/>
    <mergeCell ref="B286:E286"/>
    <mergeCell ref="B64:D64"/>
    <mergeCell ref="B65:D65"/>
    <mergeCell ref="B118:G118"/>
    <mergeCell ref="B96:E96"/>
    <mergeCell ref="B249:D249"/>
    <mergeCell ref="B250:D250"/>
    <mergeCell ref="B227:C227"/>
    <mergeCell ref="B226:C226"/>
    <mergeCell ref="B230:C230"/>
    <mergeCell ref="B232:F232"/>
    <mergeCell ref="B239:C239"/>
    <mergeCell ref="B243:C243"/>
    <mergeCell ref="C217:D217"/>
    <mergeCell ref="B219:D219"/>
    <mergeCell ref="B220:D220"/>
    <mergeCell ref="C209:D209"/>
    <mergeCell ref="C210:D210"/>
    <mergeCell ref="C211:D211"/>
    <mergeCell ref="C212:D212"/>
    <mergeCell ref="C213:D213"/>
    <mergeCell ref="C214:D214"/>
    <mergeCell ref="C215:D215"/>
    <mergeCell ref="E157:F157"/>
    <mergeCell ref="C216:D216"/>
    <mergeCell ref="A3:A5"/>
    <mergeCell ref="B3:F5"/>
    <mergeCell ref="B111:G111"/>
    <mergeCell ref="B112:G112"/>
    <mergeCell ref="B113:G113"/>
    <mergeCell ref="B13:D13"/>
    <mergeCell ref="B69:F69"/>
    <mergeCell ref="B32:D32"/>
    <mergeCell ref="B33:D33"/>
    <mergeCell ref="B44:C44"/>
    <mergeCell ref="B48:F48"/>
    <mergeCell ref="B61:F61"/>
    <mergeCell ref="B63:D63"/>
    <mergeCell ref="B45:C45"/>
    <mergeCell ref="B46:C46"/>
    <mergeCell ref="B34:D34"/>
    <mergeCell ref="B30:D30"/>
    <mergeCell ref="B43:F43"/>
    <mergeCell ref="B31:D31"/>
    <mergeCell ref="B40:D40"/>
    <mergeCell ref="B41:D41"/>
    <mergeCell ref="B95:D95"/>
    <mergeCell ref="C98:G98"/>
    <mergeCell ref="B97:F97"/>
    <mergeCell ref="C121:D121"/>
    <mergeCell ref="C122:D122"/>
    <mergeCell ref="C123:D123"/>
    <mergeCell ref="C124:D124"/>
    <mergeCell ref="C125:D125"/>
    <mergeCell ref="C126:D126"/>
    <mergeCell ref="C198:D198"/>
    <mergeCell ref="C199:D199"/>
    <mergeCell ref="C200:D200"/>
    <mergeCell ref="C197:D197"/>
    <mergeCell ref="C143:F143"/>
    <mergeCell ref="B149:F149"/>
    <mergeCell ref="B150:F150"/>
    <mergeCell ref="B151:F151"/>
    <mergeCell ref="B138:D138"/>
    <mergeCell ref="B136:F136"/>
    <mergeCell ref="B146:F146"/>
    <mergeCell ref="B128:F128"/>
    <mergeCell ref="B56:C56"/>
    <mergeCell ref="B50:C50"/>
    <mergeCell ref="B51:C51"/>
    <mergeCell ref="B52:C52"/>
    <mergeCell ref="B53:C53"/>
    <mergeCell ref="B54:C54"/>
    <mergeCell ref="B55:C55"/>
    <mergeCell ref="B58:C58"/>
    <mergeCell ref="C208:D208"/>
    <mergeCell ref="C120:D120"/>
    <mergeCell ref="C207:D207"/>
    <mergeCell ref="B133:E133"/>
    <mergeCell ref="B134:E134"/>
    <mergeCell ref="B205:F205"/>
    <mergeCell ref="B148:F148"/>
    <mergeCell ref="B168:F168"/>
    <mergeCell ref="B196:F196"/>
    <mergeCell ref="B152:F152"/>
    <mergeCell ref="B153:F153"/>
    <mergeCell ref="B154:F154"/>
    <mergeCell ref="C201:D201"/>
    <mergeCell ref="C202:D202"/>
    <mergeCell ref="C203:D203"/>
    <mergeCell ref="B106:G106"/>
  </mergeCells>
  <phoneticPr fontId="0" type="noConversion"/>
  <printOptions horizontalCentered="1"/>
  <pageMargins left="0" right="0" top="1.25" bottom="0.5" header="0.25" footer="0.5"/>
  <pageSetup scale="83" fitToWidth="0" fitToHeight="0" orientation="portrait" r:id="rId1"/>
  <headerFooter alignWithMargins="0">
    <oddHeader>&amp;C&amp;"Arial,Bold"&amp;14&amp;K05-042Mississippi State University
&amp;11Office of Institutional Research and Effectiveness
Common Data Set 2022-23</oddHeader>
    <oddFooter>&amp;L&amp;9&amp;K05-049Updated: &amp;D&amp;C&amp;9&amp;K05-049&amp;A&amp;R&amp;9&amp;K05-049Page &amp;P</oddFooter>
  </headerFooter>
  <rowBreaks count="6" manualBreakCount="6">
    <brk id="59" max="6" man="1"/>
    <brk id="92" max="16383" man="1"/>
    <brk id="144" max="6" man="1"/>
    <brk id="195" max="6" man="1"/>
    <brk id="221" max="6" man="1"/>
    <brk id="273" max="6"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N102"/>
  <sheetViews>
    <sheetView showRuler="0" zoomScaleNormal="100" workbookViewId="0">
      <selection sqref="A1:G1"/>
    </sheetView>
  </sheetViews>
  <sheetFormatPr defaultRowHeight="12.75" zeroHeight="1" x14ac:dyDescent="0.2"/>
  <cols>
    <col min="1" max="1" width="4.42578125" style="3" customWidth="1"/>
    <col min="2" max="2" width="41" style="2" customWidth="1"/>
    <col min="3" max="3" width="12.7109375" style="2" customWidth="1"/>
    <col min="4" max="5" width="15.5703125" style="2" customWidth="1"/>
    <col min="6" max="7" width="12.7109375" style="2" customWidth="1"/>
    <col min="8" max="13" width="9.140625" style="83"/>
    <col min="14" max="16384" width="9.140625" style="2"/>
  </cols>
  <sheetData>
    <row r="1" spans="1:14" ht="18" x14ac:dyDescent="0.2">
      <c r="A1" s="1" t="s">
        <v>350</v>
      </c>
      <c r="B1" s="1"/>
      <c r="C1" s="1"/>
      <c r="D1" s="1"/>
      <c r="E1" s="1"/>
      <c r="F1" s="1"/>
      <c r="G1" s="1"/>
    </row>
    <row r="2" spans="1:14" x14ac:dyDescent="0.2"/>
    <row r="3" spans="1:14" ht="15.75" x14ac:dyDescent="0.25">
      <c r="B3" s="162" t="s">
        <v>351</v>
      </c>
    </row>
    <row r="4" spans="1:14" x14ac:dyDescent="0.2">
      <c r="A4" s="5" t="s">
        <v>44</v>
      </c>
      <c r="B4" s="260"/>
      <c r="C4" s="55"/>
      <c r="D4" s="55"/>
      <c r="F4" s="185" t="s">
        <v>344</v>
      </c>
      <c r="G4" s="185" t="s">
        <v>345</v>
      </c>
    </row>
    <row r="5" spans="1:14" ht="15.6" customHeight="1" x14ac:dyDescent="0.2">
      <c r="A5" s="5"/>
      <c r="B5" s="28" t="s">
        <v>820</v>
      </c>
      <c r="C5" s="216"/>
      <c r="D5" s="216"/>
      <c r="E5" s="393"/>
      <c r="F5" s="189" t="s">
        <v>684</v>
      </c>
      <c r="G5" s="188"/>
    </row>
    <row r="6" spans="1:14" ht="32.450000000000003" customHeight="1" x14ac:dyDescent="0.2">
      <c r="A6" s="5"/>
      <c r="B6" s="28" t="s">
        <v>821</v>
      </c>
      <c r="C6" s="216"/>
      <c r="D6" s="216"/>
      <c r="E6" s="393"/>
      <c r="F6" s="189" t="s">
        <v>684</v>
      </c>
      <c r="G6" s="188"/>
    </row>
    <row r="7" spans="1:14" x14ac:dyDescent="0.2">
      <c r="B7" s="347"/>
      <c r="C7" s="347"/>
      <c r="D7" s="347"/>
      <c r="E7" s="242"/>
      <c r="F7" s="242"/>
    </row>
    <row r="8" spans="1:14" ht="29.25" customHeight="1" x14ac:dyDescent="0.2">
      <c r="A8" s="5" t="s">
        <v>45</v>
      </c>
      <c r="B8" s="422" t="s">
        <v>965</v>
      </c>
      <c r="C8" s="286"/>
      <c r="D8" s="286"/>
      <c r="E8" s="286"/>
      <c r="F8" s="286"/>
      <c r="G8" s="286"/>
    </row>
    <row r="9" spans="1:14" ht="25.5" x14ac:dyDescent="0.2">
      <c r="A9" s="5"/>
      <c r="B9" s="423"/>
      <c r="D9" s="246" t="s">
        <v>352</v>
      </c>
      <c r="E9" s="246" t="s">
        <v>195</v>
      </c>
      <c r="F9" s="246" t="s">
        <v>196</v>
      </c>
      <c r="G9" s="83"/>
      <c r="N9" s="83"/>
    </row>
    <row r="10" spans="1:14" x14ac:dyDescent="0.2">
      <c r="A10" s="5"/>
      <c r="C10" s="424" t="s">
        <v>177</v>
      </c>
      <c r="D10" s="425">
        <v>1722</v>
      </c>
      <c r="E10" s="425">
        <v>1311</v>
      </c>
      <c r="F10" s="425">
        <v>898</v>
      </c>
      <c r="G10" s="83"/>
      <c r="H10" s="126"/>
      <c r="N10" s="83"/>
    </row>
    <row r="11" spans="1:14" x14ac:dyDescent="0.2">
      <c r="A11" s="5"/>
      <c r="C11" s="424" t="s">
        <v>178</v>
      </c>
      <c r="D11" s="425">
        <v>2180</v>
      </c>
      <c r="E11" s="425">
        <v>1454</v>
      </c>
      <c r="F11" s="425">
        <v>931</v>
      </c>
      <c r="G11" s="83"/>
      <c r="H11" s="126"/>
      <c r="N11" s="83"/>
    </row>
    <row r="12" spans="1:14" x14ac:dyDescent="0.2">
      <c r="A12" s="5"/>
      <c r="C12" s="426" t="s">
        <v>197</v>
      </c>
      <c r="D12" s="427">
        <f>SUM(D10:D11)</f>
        <v>3902</v>
      </c>
      <c r="E12" s="427">
        <f>SUM(E10:E11)</f>
        <v>2765</v>
      </c>
      <c r="F12" s="427">
        <f>SUM(F10:F11)</f>
        <v>1829</v>
      </c>
      <c r="G12" s="83"/>
      <c r="N12" s="83"/>
    </row>
    <row r="13" spans="1:14" x14ac:dyDescent="0.2">
      <c r="F13" s="83"/>
      <c r="G13" s="83"/>
    </row>
    <row r="14" spans="1:14" ht="15.75" x14ac:dyDescent="0.2">
      <c r="B14" s="428" t="s">
        <v>198</v>
      </c>
      <c r="C14" s="429"/>
    </row>
    <row r="15" spans="1:14" x14ac:dyDescent="0.2">
      <c r="A15" s="5" t="s">
        <v>46</v>
      </c>
      <c r="B15" s="296" t="s">
        <v>199</v>
      </c>
      <c r="C15" s="296"/>
      <c r="D15" s="296"/>
    </row>
    <row r="16" spans="1:14" x14ac:dyDescent="0.2">
      <c r="A16" s="189" t="s">
        <v>684</v>
      </c>
      <c r="B16" s="430" t="s">
        <v>200</v>
      </c>
      <c r="C16" s="213"/>
      <c r="D16" s="26"/>
      <c r="E16" s="26"/>
      <c r="F16" s="26"/>
    </row>
    <row r="17" spans="1:7" x14ac:dyDescent="0.2">
      <c r="A17" s="189"/>
      <c r="B17" s="430" t="s">
        <v>49</v>
      </c>
      <c r="C17" s="431"/>
      <c r="E17" s="26"/>
      <c r="F17" s="26"/>
    </row>
    <row r="18" spans="1:7" x14ac:dyDescent="0.2">
      <c r="A18" s="189" t="s">
        <v>684</v>
      </c>
      <c r="B18" s="430" t="s">
        <v>201</v>
      </c>
      <c r="C18" s="213"/>
      <c r="D18" s="26"/>
      <c r="E18" s="26"/>
      <c r="F18" s="26"/>
    </row>
    <row r="19" spans="1:7" x14ac:dyDescent="0.2">
      <c r="A19" s="189" t="s">
        <v>684</v>
      </c>
      <c r="B19" s="430" t="s">
        <v>202</v>
      </c>
      <c r="C19" s="213"/>
      <c r="D19" s="26"/>
      <c r="E19" s="26"/>
      <c r="F19" s="26"/>
    </row>
    <row r="20" spans="1:7" x14ac:dyDescent="0.2"/>
    <row r="21" spans="1:7" ht="12.75" customHeight="1" x14ac:dyDescent="0.2">
      <c r="A21" s="5" t="s">
        <v>47</v>
      </c>
      <c r="B21" s="260"/>
      <c r="C21" s="55"/>
      <c r="D21" s="55"/>
      <c r="F21" s="185" t="s">
        <v>344</v>
      </c>
      <c r="G21" s="185" t="s">
        <v>345</v>
      </c>
    </row>
    <row r="22" spans="1:7" ht="26.45" customHeight="1" x14ac:dyDescent="0.2">
      <c r="A22" s="5"/>
      <c r="B22" s="216" t="s">
        <v>203</v>
      </c>
      <c r="C22" s="216"/>
      <c r="D22" s="216"/>
      <c r="E22" s="393"/>
      <c r="F22" s="202"/>
      <c r="G22" s="189" t="s">
        <v>684</v>
      </c>
    </row>
    <row r="23" spans="1:7" x14ac:dyDescent="0.2"/>
    <row r="24" spans="1:7" x14ac:dyDescent="0.2">
      <c r="A24" s="5" t="s">
        <v>48</v>
      </c>
      <c r="B24" s="296" t="s">
        <v>328</v>
      </c>
      <c r="C24" s="432"/>
      <c r="D24" s="432"/>
      <c r="E24" s="432"/>
      <c r="F24" s="191"/>
    </row>
    <row r="25" spans="1:7" ht="22.5" x14ac:dyDescent="0.2">
      <c r="A25" s="5"/>
      <c r="C25" s="433" t="s">
        <v>329</v>
      </c>
      <c r="D25" s="433" t="s">
        <v>330</v>
      </c>
      <c r="E25" s="433" t="s">
        <v>331</v>
      </c>
      <c r="F25" s="433" t="s">
        <v>332</v>
      </c>
      <c r="G25" s="433" t="s">
        <v>333</v>
      </c>
    </row>
    <row r="26" spans="1:7" x14ac:dyDescent="0.2">
      <c r="A26" s="5"/>
      <c r="B26" s="7" t="s">
        <v>334</v>
      </c>
      <c r="C26" s="188"/>
      <c r="D26" s="189"/>
      <c r="E26" s="202"/>
      <c r="F26" s="189" t="s">
        <v>684</v>
      </c>
      <c r="G26" s="202"/>
    </row>
    <row r="27" spans="1:7" x14ac:dyDescent="0.2">
      <c r="A27" s="5"/>
      <c r="B27" s="7" t="s">
        <v>335</v>
      </c>
      <c r="C27" s="189" t="s">
        <v>684</v>
      </c>
      <c r="D27" s="202"/>
      <c r="E27" s="202"/>
      <c r="F27" s="202"/>
      <c r="G27" s="202"/>
    </row>
    <row r="28" spans="1:7" x14ac:dyDescent="0.2">
      <c r="A28" s="5"/>
      <c r="B28" s="7" t="s">
        <v>336</v>
      </c>
      <c r="C28" s="202"/>
      <c r="D28" s="202"/>
      <c r="E28" s="202"/>
      <c r="F28" s="202"/>
      <c r="G28" s="189" t="s">
        <v>684</v>
      </c>
    </row>
    <row r="29" spans="1:7" x14ac:dyDescent="0.2">
      <c r="A29" s="5"/>
      <c r="B29" s="7" t="s">
        <v>627</v>
      </c>
      <c r="C29" s="202"/>
      <c r="D29" s="202"/>
      <c r="E29" s="202"/>
      <c r="F29" s="202"/>
      <c r="G29" s="189" t="s">
        <v>684</v>
      </c>
    </row>
    <row r="30" spans="1:7" x14ac:dyDescent="0.2">
      <c r="A30" s="5"/>
      <c r="B30" s="7" t="s">
        <v>625</v>
      </c>
      <c r="C30" s="202"/>
      <c r="D30" s="189"/>
      <c r="E30" s="202"/>
      <c r="F30" s="189" t="s">
        <v>684</v>
      </c>
      <c r="G30" s="202"/>
    </row>
    <row r="31" spans="1:7" ht="25.5" x14ac:dyDescent="0.2">
      <c r="A31" s="5"/>
      <c r="B31" s="7" t="s">
        <v>337</v>
      </c>
      <c r="C31" s="189" t="s">
        <v>684</v>
      </c>
      <c r="D31" s="202"/>
      <c r="E31" s="202"/>
      <c r="F31" s="202"/>
      <c r="G31" s="202"/>
    </row>
    <row r="32" spans="1:7" x14ac:dyDescent="0.2"/>
    <row r="33" spans="1:7" x14ac:dyDescent="0.2">
      <c r="A33" s="5" t="s">
        <v>51</v>
      </c>
      <c r="B33" s="28" t="s">
        <v>50</v>
      </c>
      <c r="C33" s="28"/>
      <c r="D33" s="28"/>
      <c r="E33" s="28"/>
      <c r="F33" s="28"/>
      <c r="G33" s="28"/>
    </row>
    <row r="34" spans="1:7" x14ac:dyDescent="0.2"/>
    <row r="35" spans="1:7" x14ac:dyDescent="0.2">
      <c r="A35" s="5" t="s">
        <v>52</v>
      </c>
      <c r="B35" s="28" t="s">
        <v>817</v>
      </c>
      <c r="C35" s="28"/>
      <c r="D35" s="28"/>
      <c r="E35" s="28"/>
      <c r="F35" s="28"/>
      <c r="G35" s="28"/>
    </row>
    <row r="36" spans="1:7" x14ac:dyDescent="0.2"/>
    <row r="37" spans="1:7" ht="12.95" customHeight="1" x14ac:dyDescent="0.2">
      <c r="A37" s="5" t="s">
        <v>53</v>
      </c>
      <c r="B37" s="28" t="s">
        <v>816</v>
      </c>
      <c r="C37" s="28"/>
      <c r="D37" s="28"/>
      <c r="E37" s="434" t="s">
        <v>818</v>
      </c>
      <c r="G37" s="274"/>
    </row>
    <row r="38" spans="1:7" x14ac:dyDescent="0.2">
      <c r="A38" s="5"/>
      <c r="B38" s="274"/>
      <c r="C38" s="274"/>
      <c r="D38" s="274"/>
      <c r="E38" s="274"/>
      <c r="F38" s="274"/>
      <c r="G38" s="274"/>
    </row>
    <row r="39" spans="1:7" x14ac:dyDescent="0.2"/>
    <row r="40" spans="1:7" ht="37.5" customHeight="1" x14ac:dyDescent="0.2">
      <c r="A40" s="5" t="s">
        <v>55</v>
      </c>
      <c r="B40" s="216" t="s">
        <v>54</v>
      </c>
      <c r="C40" s="435"/>
      <c r="D40" s="435"/>
      <c r="E40" s="435"/>
      <c r="F40" s="435"/>
      <c r="G40" s="435"/>
    </row>
    <row r="41" spans="1:7" ht="22.5" x14ac:dyDescent="0.2">
      <c r="A41" s="5"/>
      <c r="C41" s="433" t="s">
        <v>338</v>
      </c>
      <c r="D41" s="433" t="s">
        <v>339</v>
      </c>
      <c r="E41" s="433" t="s">
        <v>340</v>
      </c>
      <c r="F41" s="433" t="s">
        <v>341</v>
      </c>
      <c r="G41" s="433" t="s">
        <v>342</v>
      </c>
    </row>
    <row r="42" spans="1:7" x14ac:dyDescent="0.2">
      <c r="A42" s="5"/>
      <c r="B42" s="436" t="s">
        <v>200</v>
      </c>
      <c r="C42" s="437"/>
      <c r="D42" s="437"/>
      <c r="E42" s="437"/>
      <c r="F42" s="437"/>
      <c r="G42" s="189" t="s">
        <v>684</v>
      </c>
    </row>
    <row r="43" spans="1:7" x14ac:dyDescent="0.2">
      <c r="A43" s="5"/>
      <c r="B43" s="436" t="s">
        <v>49</v>
      </c>
      <c r="C43" s="437"/>
      <c r="D43" s="437"/>
      <c r="E43" s="437"/>
      <c r="F43" s="437"/>
      <c r="G43" s="65"/>
    </row>
    <row r="44" spans="1:7" x14ac:dyDescent="0.2">
      <c r="A44" s="5"/>
      <c r="B44" s="436" t="s">
        <v>201</v>
      </c>
      <c r="C44" s="437"/>
      <c r="D44" s="437"/>
      <c r="E44" s="437"/>
      <c r="F44" s="437"/>
      <c r="G44" s="189" t="s">
        <v>684</v>
      </c>
    </row>
    <row r="45" spans="1:7" x14ac:dyDescent="0.2">
      <c r="A45" s="5"/>
      <c r="B45" s="436" t="s">
        <v>202</v>
      </c>
      <c r="C45" s="437"/>
      <c r="D45" s="437"/>
      <c r="E45" s="437"/>
      <c r="F45" s="437"/>
      <c r="G45" s="189" t="s">
        <v>684</v>
      </c>
    </row>
    <row r="46" spans="1:7" ht="22.5" customHeight="1" x14ac:dyDescent="0.2"/>
    <row r="47" spans="1:7" ht="12.75" customHeight="1" x14ac:dyDescent="0.2">
      <c r="B47" s="260"/>
      <c r="C47" s="55"/>
      <c r="D47" s="55"/>
      <c r="F47" s="185" t="s">
        <v>344</v>
      </c>
      <c r="G47" s="185" t="s">
        <v>345</v>
      </c>
    </row>
    <row r="48" spans="1:7" x14ac:dyDescent="0.2">
      <c r="A48" s="5" t="s">
        <v>56</v>
      </c>
      <c r="B48" s="216" t="s">
        <v>42</v>
      </c>
      <c r="C48" s="216"/>
      <c r="D48" s="216"/>
      <c r="E48" s="216"/>
      <c r="F48" s="202"/>
      <c r="G48" s="189" t="s">
        <v>684</v>
      </c>
    </row>
    <row r="49" spans="1:7" x14ac:dyDescent="0.2">
      <c r="B49" s="347"/>
      <c r="C49" s="347"/>
      <c r="D49" s="347"/>
      <c r="E49" s="242"/>
      <c r="F49" s="242"/>
    </row>
    <row r="50" spans="1:7" x14ac:dyDescent="0.2">
      <c r="A50" s="5" t="s">
        <v>57</v>
      </c>
      <c r="B50" s="216" t="s">
        <v>58</v>
      </c>
      <c r="C50" s="216"/>
      <c r="D50" s="216"/>
      <c r="E50" s="216"/>
      <c r="F50" s="216"/>
      <c r="G50" s="216"/>
    </row>
    <row r="51" spans="1:7" x14ac:dyDescent="0.2">
      <c r="A51" s="5"/>
      <c r="B51" s="216"/>
      <c r="C51" s="216"/>
      <c r="D51" s="216"/>
      <c r="E51" s="216"/>
      <c r="F51" s="216"/>
      <c r="G51" s="216"/>
    </row>
    <row r="52" spans="1:7" x14ac:dyDescent="0.2"/>
    <row r="53" spans="1:7" ht="15.75" x14ac:dyDescent="0.2">
      <c r="B53" s="428" t="s">
        <v>59</v>
      </c>
      <c r="C53" s="429"/>
      <c r="G53" s="185" t="s">
        <v>819</v>
      </c>
    </row>
    <row r="54" spans="1:7" ht="15" x14ac:dyDescent="0.2">
      <c r="A54" s="5" t="s">
        <v>60</v>
      </c>
      <c r="B54" s="216" t="s">
        <v>61</v>
      </c>
      <c r="C54" s="216"/>
      <c r="D54" s="216"/>
      <c r="E54" s="216"/>
      <c r="F54" s="216"/>
      <c r="G54" s="438" t="s">
        <v>696</v>
      </c>
    </row>
    <row r="55" spans="1:7" x14ac:dyDescent="0.2"/>
    <row r="56" spans="1:7" x14ac:dyDescent="0.2">
      <c r="B56" s="260"/>
      <c r="C56" s="55"/>
      <c r="D56" s="55"/>
      <c r="F56" s="185" t="s">
        <v>43</v>
      </c>
      <c r="G56" s="185" t="s">
        <v>62</v>
      </c>
    </row>
    <row r="57" spans="1:7" ht="26.25" customHeight="1" x14ac:dyDescent="0.2">
      <c r="A57" s="5" t="s">
        <v>563</v>
      </c>
      <c r="B57" s="216" t="s">
        <v>562</v>
      </c>
      <c r="C57" s="216"/>
      <c r="D57" s="216"/>
      <c r="E57" s="393"/>
      <c r="F57" s="439" t="s">
        <v>697</v>
      </c>
      <c r="G57" s="439" t="s">
        <v>698</v>
      </c>
    </row>
    <row r="58" spans="1:7" x14ac:dyDescent="0.2"/>
    <row r="59" spans="1:7" x14ac:dyDescent="0.2">
      <c r="A59" s="5"/>
      <c r="B59" s="260"/>
      <c r="C59" s="55"/>
      <c r="D59" s="55"/>
      <c r="F59" s="185" t="s">
        <v>43</v>
      </c>
      <c r="G59" s="185" t="s">
        <v>62</v>
      </c>
    </row>
    <row r="60" spans="1:7" ht="27" customHeight="1" x14ac:dyDescent="0.2">
      <c r="A60" s="5" t="s">
        <v>565</v>
      </c>
      <c r="B60" s="216" t="s">
        <v>564</v>
      </c>
      <c r="C60" s="216"/>
      <c r="D60" s="216"/>
      <c r="E60" s="393"/>
      <c r="F60" s="439" t="s">
        <v>699</v>
      </c>
      <c r="G60" s="440" t="s">
        <v>698</v>
      </c>
    </row>
    <row r="61" spans="1:7" x14ac:dyDescent="0.2"/>
    <row r="62" spans="1:7" x14ac:dyDescent="0.2">
      <c r="A62" s="5"/>
      <c r="B62" s="285"/>
      <c r="C62" s="285"/>
      <c r="D62" s="285"/>
      <c r="E62" s="285"/>
      <c r="F62" s="285"/>
      <c r="G62" s="185" t="s">
        <v>43</v>
      </c>
    </row>
    <row r="63" spans="1:7" ht="26.25" customHeight="1" x14ac:dyDescent="0.2">
      <c r="A63" s="5" t="s">
        <v>566</v>
      </c>
      <c r="B63" s="216" t="s">
        <v>567</v>
      </c>
      <c r="C63" s="216"/>
      <c r="D63" s="216"/>
      <c r="E63" s="216"/>
      <c r="F63" s="393"/>
      <c r="G63" s="441">
        <v>31</v>
      </c>
    </row>
    <row r="64" spans="1:7" x14ac:dyDescent="0.2">
      <c r="A64" s="5"/>
      <c r="B64" s="285"/>
      <c r="C64" s="285"/>
      <c r="D64" s="285"/>
      <c r="E64" s="285"/>
      <c r="F64" s="285"/>
      <c r="G64" s="176"/>
    </row>
    <row r="65" spans="1:7" ht="12.75" customHeight="1" x14ac:dyDescent="0.2">
      <c r="A65" s="5" t="s">
        <v>568</v>
      </c>
      <c r="B65" s="442" t="s">
        <v>765</v>
      </c>
      <c r="C65" s="443"/>
      <c r="D65" s="443"/>
      <c r="E65" s="443"/>
      <c r="F65" s="443"/>
      <c r="G65" s="444"/>
    </row>
    <row r="66" spans="1:7" ht="63" customHeight="1" x14ac:dyDescent="0.2">
      <c r="A66" s="5"/>
      <c r="B66" s="445"/>
      <c r="C66" s="446"/>
      <c r="D66" s="446"/>
      <c r="E66" s="446"/>
      <c r="F66" s="446"/>
      <c r="G66" s="447"/>
    </row>
    <row r="67" spans="1:7" x14ac:dyDescent="0.2">
      <c r="A67" s="5"/>
      <c r="B67" s="27"/>
      <c r="C67" s="27"/>
      <c r="D67" s="27"/>
      <c r="E67" s="27"/>
      <c r="F67" s="27"/>
      <c r="G67" s="27"/>
    </row>
    <row r="68" spans="1:7" ht="15.75" x14ac:dyDescent="0.2">
      <c r="B68" s="448" t="s">
        <v>711</v>
      </c>
    </row>
    <row r="69" spans="1:7" ht="15.75" x14ac:dyDescent="0.2">
      <c r="B69" s="448"/>
    </row>
    <row r="70" spans="1:7" ht="12.75" hidden="1" customHeight="1" x14ac:dyDescent="0.2">
      <c r="A70" s="449" t="s">
        <v>712</v>
      </c>
    </row>
    <row r="71" spans="1:7" x14ac:dyDescent="0.2">
      <c r="A71" s="5" t="s">
        <v>716</v>
      </c>
      <c r="B71" s="26" t="s">
        <v>721</v>
      </c>
      <c r="F71" s="27"/>
    </row>
    <row r="72" spans="1:7" x14ac:dyDescent="0.2">
      <c r="A72" s="5"/>
      <c r="B72" s="26"/>
      <c r="F72" s="27"/>
    </row>
    <row r="73" spans="1:7" x14ac:dyDescent="0.2">
      <c r="A73" s="5"/>
      <c r="B73" s="260"/>
      <c r="C73" s="55"/>
      <c r="D73" s="55"/>
      <c r="F73" s="185" t="s">
        <v>344</v>
      </c>
      <c r="G73" s="185" t="s">
        <v>345</v>
      </c>
    </row>
    <row r="74" spans="1:7" x14ac:dyDescent="0.2">
      <c r="A74" s="5"/>
      <c r="B74" s="450" t="s">
        <v>713</v>
      </c>
      <c r="C74" s="451"/>
      <c r="D74" s="451"/>
      <c r="F74" s="225" t="s">
        <v>684</v>
      </c>
      <c r="G74" s="452"/>
    </row>
    <row r="75" spans="1:7" x14ac:dyDescent="0.2">
      <c r="A75" s="5"/>
      <c r="B75" s="450" t="s">
        <v>714</v>
      </c>
      <c r="C75" s="451"/>
      <c r="D75" s="451"/>
      <c r="F75" s="225" t="s">
        <v>684</v>
      </c>
      <c r="G75" s="452"/>
    </row>
    <row r="76" spans="1:7" x14ac:dyDescent="0.2">
      <c r="A76" s="5"/>
      <c r="B76" s="450" t="s">
        <v>715</v>
      </c>
      <c r="C76" s="451"/>
      <c r="D76" s="451"/>
      <c r="F76" s="225"/>
      <c r="G76" s="452" t="s">
        <v>684</v>
      </c>
    </row>
    <row r="77" spans="1:7" x14ac:dyDescent="0.2"/>
    <row r="78" spans="1:7" x14ac:dyDescent="0.2">
      <c r="A78" s="5" t="s">
        <v>717</v>
      </c>
      <c r="B78" s="260"/>
      <c r="C78" s="55"/>
      <c r="D78" s="55"/>
      <c r="F78" s="193" t="s">
        <v>43</v>
      </c>
      <c r="G78" s="277" t="s">
        <v>62</v>
      </c>
    </row>
    <row r="79" spans="1:7" ht="12.6" customHeight="1" x14ac:dyDescent="0.2">
      <c r="A79" s="2"/>
      <c r="B79" s="453" t="s">
        <v>722</v>
      </c>
      <c r="C79" s="453"/>
      <c r="D79" s="453"/>
      <c r="E79" s="454"/>
      <c r="F79" s="455">
        <v>31</v>
      </c>
      <c r="G79" s="456" t="s">
        <v>731</v>
      </c>
    </row>
    <row r="80" spans="1:7" x14ac:dyDescent="0.2">
      <c r="A80" s="5"/>
      <c r="B80" s="453"/>
      <c r="C80" s="453"/>
      <c r="D80" s="453"/>
      <c r="E80" s="454"/>
      <c r="F80" s="457"/>
      <c r="G80" s="458"/>
    </row>
    <row r="81" spans="1:7" x14ac:dyDescent="0.2"/>
    <row r="82" spans="1:7" x14ac:dyDescent="0.2">
      <c r="A82" s="5" t="s">
        <v>718</v>
      </c>
      <c r="B82" s="260"/>
      <c r="C82" s="55"/>
      <c r="D82" s="55"/>
      <c r="F82" s="193" t="s">
        <v>43</v>
      </c>
      <c r="G82" s="277" t="s">
        <v>62</v>
      </c>
    </row>
    <row r="83" spans="1:7" ht="12.6" customHeight="1" x14ac:dyDescent="0.2">
      <c r="A83" s="2"/>
      <c r="B83" s="459" t="s">
        <v>723</v>
      </c>
      <c r="C83" s="459"/>
      <c r="D83" s="459"/>
      <c r="E83" s="460"/>
      <c r="F83" s="455">
        <v>31</v>
      </c>
      <c r="G83" s="456" t="s">
        <v>731</v>
      </c>
    </row>
    <row r="84" spans="1:7" x14ac:dyDescent="0.2">
      <c r="A84" s="5"/>
      <c r="B84" s="459"/>
      <c r="C84" s="459"/>
      <c r="D84" s="459"/>
      <c r="E84" s="460"/>
      <c r="F84" s="461"/>
      <c r="G84" s="462"/>
    </row>
    <row r="85" spans="1:7" x14ac:dyDescent="0.2">
      <c r="A85" s="5"/>
      <c r="B85" s="459"/>
      <c r="C85" s="459"/>
      <c r="D85" s="459"/>
      <c r="E85" s="460"/>
      <c r="F85" s="457"/>
      <c r="G85" s="458"/>
    </row>
    <row r="86" spans="1:7" x14ac:dyDescent="0.2"/>
    <row r="87" spans="1:7" x14ac:dyDescent="0.2">
      <c r="A87" s="5"/>
      <c r="B87" s="260"/>
      <c r="C87" s="55"/>
      <c r="D87" s="55"/>
      <c r="F87" s="185" t="s">
        <v>344</v>
      </c>
      <c r="G87" s="185" t="s">
        <v>345</v>
      </c>
    </row>
    <row r="88" spans="1:7" ht="12.95" customHeight="1" x14ac:dyDescent="0.2">
      <c r="A88" s="5" t="s">
        <v>719</v>
      </c>
      <c r="B88" s="463" t="s">
        <v>724</v>
      </c>
      <c r="C88" s="463"/>
      <c r="D88" s="463"/>
      <c r="E88" s="464"/>
      <c r="F88" s="189" t="s">
        <v>684</v>
      </c>
      <c r="G88" s="145"/>
    </row>
    <row r="89" spans="1:7" x14ac:dyDescent="0.2"/>
    <row r="90" spans="1:7" hidden="1" x14ac:dyDescent="0.2">
      <c r="A90" s="5" t="s">
        <v>720</v>
      </c>
      <c r="B90" s="465" t="s">
        <v>732</v>
      </c>
      <c r="C90" s="466"/>
      <c r="D90" s="466"/>
      <c r="E90" s="466"/>
      <c r="F90" s="467"/>
    </row>
    <row r="91" spans="1:7" hidden="1" x14ac:dyDescent="0.2">
      <c r="A91" s="5"/>
      <c r="B91" s="184"/>
      <c r="C91" s="55"/>
      <c r="D91" s="55"/>
      <c r="E91" s="55"/>
      <c r="F91" s="468"/>
    </row>
    <row r="92" spans="1:7" hidden="1" x14ac:dyDescent="0.2">
      <c r="B92" s="469"/>
      <c r="C92" s="24"/>
      <c r="D92" s="24"/>
      <c r="E92" s="24"/>
      <c r="F92" s="25"/>
    </row>
    <row r="93" spans="1:7" x14ac:dyDescent="0.2"/>
    <row r="94" spans="1:7" x14ac:dyDescent="0.2"/>
    <row r="95" spans="1:7" x14ac:dyDescent="0.2"/>
    <row r="96" spans="1:7" x14ac:dyDescent="0.2"/>
    <row r="97" x14ac:dyDescent="0.2"/>
    <row r="98" x14ac:dyDescent="0.2"/>
    <row r="99" x14ac:dyDescent="0.2"/>
    <row r="100" x14ac:dyDescent="0.2"/>
    <row r="101" x14ac:dyDescent="0.2"/>
    <row r="102" x14ac:dyDescent="0.2"/>
  </sheetData>
  <sheetProtection algorithmName="SHA-512" hashValue="0grliki9XHF42ehtJO3Wxoe3G7P/0luCGQJjNDKpcz/CLMiyRnFyV+CF2ROr7XTPV9Qsh/N4cVr0zXqCWrRTbQ==" saltValue="vA/vCEnvMLgozBZo4IF23w==" spinCount="100000" sheet="1" objects="1" scenarios="1"/>
  <mergeCells count="40">
    <mergeCell ref="B75:D75"/>
    <mergeCell ref="B76:D76"/>
    <mergeCell ref="B78:D78"/>
    <mergeCell ref="B90:F92"/>
    <mergeCell ref="A1:G1"/>
    <mergeCell ref="B8:G8"/>
    <mergeCell ref="B24:E24"/>
    <mergeCell ref="B4:D4"/>
    <mergeCell ref="B14:C14"/>
    <mergeCell ref="B65:G66"/>
    <mergeCell ref="B82:D82"/>
    <mergeCell ref="B15:D15"/>
    <mergeCell ref="B47:D47"/>
    <mergeCell ref="B21:D21"/>
    <mergeCell ref="B50:G51"/>
    <mergeCell ref="B53:C53"/>
    <mergeCell ref="B40:G40"/>
    <mergeCell ref="B56:D56"/>
    <mergeCell ref="B59:D59"/>
    <mergeCell ref="B22:E22"/>
    <mergeCell ref="B5:E5"/>
    <mergeCell ref="B6:E6"/>
    <mergeCell ref="B33:G33"/>
    <mergeCell ref="B35:G35"/>
    <mergeCell ref="B83:E85"/>
    <mergeCell ref="F83:F85"/>
    <mergeCell ref="G83:G85"/>
    <mergeCell ref="B88:E88"/>
    <mergeCell ref="B37:D37"/>
    <mergeCell ref="B63:F63"/>
    <mergeCell ref="B79:E80"/>
    <mergeCell ref="F79:F80"/>
    <mergeCell ref="G79:G80"/>
    <mergeCell ref="B54:F54"/>
    <mergeCell ref="B57:E57"/>
    <mergeCell ref="B60:E60"/>
    <mergeCell ref="B48:E48"/>
    <mergeCell ref="B87:D87"/>
    <mergeCell ref="B73:D73"/>
    <mergeCell ref="B74:D74"/>
  </mergeCells>
  <phoneticPr fontId="0" type="noConversion"/>
  <printOptions horizontalCentered="1"/>
  <pageMargins left="0" right="0" top="1.25" bottom="0.5" header="0.25" footer="0.5"/>
  <pageSetup scale="82" orientation="portrait" r:id="rId1"/>
  <headerFooter alignWithMargins="0">
    <oddHeader>&amp;C&amp;"Arial,Bold"&amp;14&amp;K05-041Mississippi State University
&amp;11Office of Institutional Research and Effectiveness
Common Data Set 2022-23</oddHeader>
    <oddFooter>&amp;L&amp;9&amp;K05-049Updated: &amp;D&amp;C&amp;9&amp;K05-049&amp;A&amp;R&amp;9&amp;K05-049Page &amp;P</oddFooter>
  </headerFooter>
  <rowBreaks count="1" manualBreakCount="1">
    <brk id="51" max="6"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F53"/>
  <sheetViews>
    <sheetView showRuler="0" zoomScaleNormal="100" workbookViewId="0">
      <selection sqref="A1:C1"/>
    </sheetView>
  </sheetViews>
  <sheetFormatPr defaultRowHeight="12.75" zeroHeight="1" x14ac:dyDescent="0.2"/>
  <cols>
    <col min="1" max="1" width="4.42578125" style="3" customWidth="1"/>
    <col min="2" max="2" width="66.28515625" style="2" customWidth="1"/>
    <col min="3" max="3" width="12.7109375" style="2" customWidth="1"/>
    <col min="4" max="16384" width="9.140625" style="2"/>
  </cols>
  <sheetData>
    <row r="1" spans="1:6" ht="18" x14ac:dyDescent="0.2">
      <c r="A1" s="1" t="s">
        <v>548</v>
      </c>
      <c r="B1" s="1"/>
      <c r="C1" s="1"/>
      <c r="D1" s="83"/>
      <c r="E1" s="83"/>
      <c r="F1" s="83"/>
    </row>
    <row r="2" spans="1:6" ht="28.5" customHeight="1" x14ac:dyDescent="0.2">
      <c r="A2" s="5" t="s">
        <v>448</v>
      </c>
      <c r="B2" s="54" t="s">
        <v>549</v>
      </c>
      <c r="C2" s="108"/>
    </row>
    <row r="3" spans="1:6" x14ac:dyDescent="0.2">
      <c r="A3" s="189" t="s">
        <v>684</v>
      </c>
      <c r="B3" s="14" t="s">
        <v>550</v>
      </c>
      <c r="C3" s="470"/>
    </row>
    <row r="4" spans="1:6" x14ac:dyDescent="0.2">
      <c r="A4" s="189" t="s">
        <v>684</v>
      </c>
      <c r="B4" s="14" t="s">
        <v>317</v>
      </c>
      <c r="C4" s="471"/>
    </row>
    <row r="5" spans="1:6" x14ac:dyDescent="0.2">
      <c r="A5" s="189" t="s">
        <v>684</v>
      </c>
      <c r="B5" s="14" t="s">
        <v>551</v>
      </c>
      <c r="C5" s="471"/>
    </row>
    <row r="6" spans="1:6" x14ac:dyDescent="0.2">
      <c r="A6" s="189" t="s">
        <v>684</v>
      </c>
      <c r="B6" s="14" t="s">
        <v>552</v>
      </c>
      <c r="C6" s="471"/>
    </row>
    <row r="7" spans="1:6" x14ac:dyDescent="0.2">
      <c r="A7" s="189" t="s">
        <v>684</v>
      </c>
      <c r="B7" s="14" t="s">
        <v>553</v>
      </c>
      <c r="C7" s="471"/>
    </row>
    <row r="8" spans="1:6" x14ac:dyDescent="0.2">
      <c r="A8" s="189" t="s">
        <v>684</v>
      </c>
      <c r="B8" s="14" t="s">
        <v>554</v>
      </c>
      <c r="C8" s="471"/>
    </row>
    <row r="9" spans="1:6" x14ac:dyDescent="0.2">
      <c r="A9" s="189" t="s">
        <v>684</v>
      </c>
      <c r="B9" s="14" t="s">
        <v>555</v>
      </c>
      <c r="C9" s="471"/>
    </row>
    <row r="10" spans="1:6" x14ac:dyDescent="0.2">
      <c r="A10" s="189" t="s">
        <v>684</v>
      </c>
      <c r="B10" s="14" t="s">
        <v>22</v>
      </c>
      <c r="C10" s="471"/>
    </row>
    <row r="11" spans="1:6" x14ac:dyDescent="0.2">
      <c r="A11" s="207"/>
      <c r="B11" s="14" t="s">
        <v>23</v>
      </c>
      <c r="C11" s="471"/>
    </row>
    <row r="12" spans="1:6" x14ac:dyDescent="0.2">
      <c r="A12" s="189" t="s">
        <v>684</v>
      </c>
      <c r="B12" s="14" t="s">
        <v>24</v>
      </c>
      <c r="C12" s="471"/>
    </row>
    <row r="13" spans="1:6" x14ac:dyDescent="0.2">
      <c r="A13" s="189" t="s">
        <v>684</v>
      </c>
      <c r="B13" s="14" t="s">
        <v>25</v>
      </c>
      <c r="C13" s="471"/>
    </row>
    <row r="14" spans="1:6" x14ac:dyDescent="0.2">
      <c r="A14" s="189" t="s">
        <v>684</v>
      </c>
      <c r="B14" s="14" t="s">
        <v>26</v>
      </c>
      <c r="C14" s="471"/>
    </row>
    <row r="15" spans="1:6" x14ac:dyDescent="0.2">
      <c r="A15" s="189" t="s">
        <v>684</v>
      </c>
      <c r="B15" s="14" t="s">
        <v>27</v>
      </c>
      <c r="C15" s="471"/>
    </row>
    <row r="16" spans="1:6" x14ac:dyDescent="0.2">
      <c r="A16" s="189" t="s">
        <v>684</v>
      </c>
      <c r="B16" s="14" t="s">
        <v>28</v>
      </c>
      <c r="C16" s="471"/>
    </row>
    <row r="17" spans="1:3" x14ac:dyDescent="0.2">
      <c r="A17" s="189" t="s">
        <v>684</v>
      </c>
      <c r="B17" s="14" t="s">
        <v>29</v>
      </c>
      <c r="C17" s="471"/>
    </row>
    <row r="18" spans="1:3" x14ac:dyDescent="0.2">
      <c r="A18" s="189" t="s">
        <v>684</v>
      </c>
      <c r="B18" s="14" t="s">
        <v>30</v>
      </c>
      <c r="C18" s="471"/>
    </row>
    <row r="19" spans="1:3" x14ac:dyDescent="0.2">
      <c r="A19" s="207"/>
      <c r="B19" s="14" t="s">
        <v>31</v>
      </c>
      <c r="C19" s="471"/>
    </row>
    <row r="20" spans="1:3" x14ac:dyDescent="0.2">
      <c r="A20" s="207"/>
      <c r="B20" s="14" t="s">
        <v>32</v>
      </c>
      <c r="C20" s="470"/>
    </row>
    <row r="21" spans="1:3" x14ac:dyDescent="0.2">
      <c r="A21" s="472"/>
      <c r="B21" s="55"/>
      <c r="C21" s="55"/>
    </row>
    <row r="22" spans="1:3" x14ac:dyDescent="0.2"/>
    <row r="23" spans="1:3" ht="24.75" customHeight="1" x14ac:dyDescent="0.2">
      <c r="A23" s="142" t="s">
        <v>449</v>
      </c>
      <c r="B23" s="285" t="s">
        <v>33</v>
      </c>
      <c r="C23" s="285"/>
    </row>
    <row r="24" spans="1:3" x14ac:dyDescent="0.2">
      <c r="A24" s="473" t="s">
        <v>684</v>
      </c>
      <c r="B24" s="14" t="s">
        <v>34</v>
      </c>
      <c r="C24" s="471"/>
    </row>
    <row r="25" spans="1:3" x14ac:dyDescent="0.2">
      <c r="A25" s="473" t="s">
        <v>684</v>
      </c>
      <c r="B25" s="14" t="s">
        <v>35</v>
      </c>
      <c r="C25" s="471"/>
    </row>
    <row r="26" spans="1:3" x14ac:dyDescent="0.2">
      <c r="A26" s="473" t="s">
        <v>684</v>
      </c>
      <c r="B26" s="14" t="s">
        <v>36</v>
      </c>
      <c r="C26" s="471"/>
    </row>
    <row r="27" spans="1:3" x14ac:dyDescent="0.2">
      <c r="A27" s="473"/>
      <c r="B27" s="14" t="s">
        <v>37</v>
      </c>
      <c r="C27" s="471"/>
    </row>
    <row r="28" spans="1:3" x14ac:dyDescent="0.2">
      <c r="A28" s="473" t="s">
        <v>684</v>
      </c>
      <c r="B28" s="14" t="s">
        <v>614</v>
      </c>
      <c r="C28" s="471"/>
    </row>
    <row r="29" spans="1:3" x14ac:dyDescent="0.2">
      <c r="A29" s="473" t="s">
        <v>684</v>
      </c>
      <c r="B29" s="14" t="s">
        <v>38</v>
      </c>
      <c r="C29" s="471"/>
    </row>
    <row r="30" spans="1:3" x14ac:dyDescent="0.2">
      <c r="A30" s="473" t="s">
        <v>684</v>
      </c>
      <c r="B30" s="14" t="s">
        <v>611</v>
      </c>
      <c r="C30" s="471"/>
    </row>
    <row r="31" spans="1:3" x14ac:dyDescent="0.2">
      <c r="A31" s="473" t="s">
        <v>684</v>
      </c>
      <c r="B31" s="14" t="s">
        <v>39</v>
      </c>
      <c r="C31" s="471"/>
    </row>
    <row r="32" spans="1:3" x14ac:dyDescent="0.2">
      <c r="A32" s="473" t="s">
        <v>684</v>
      </c>
      <c r="B32" s="14" t="s">
        <v>40</v>
      </c>
      <c r="C32" s="471"/>
    </row>
    <row r="33" spans="1:3" x14ac:dyDescent="0.2">
      <c r="A33" s="473" t="s">
        <v>684</v>
      </c>
      <c r="B33" s="14" t="s">
        <v>41</v>
      </c>
      <c r="C33" s="471"/>
    </row>
    <row r="34" spans="1:3" x14ac:dyDescent="0.2">
      <c r="A34" s="144"/>
      <c r="B34" s="14" t="s">
        <v>166</v>
      </c>
      <c r="C34" s="470"/>
    </row>
    <row r="35" spans="1:3" x14ac:dyDescent="0.2">
      <c r="A35" s="472"/>
      <c r="B35" s="474"/>
      <c r="C35" s="474"/>
    </row>
    <row r="36" spans="1:3" x14ac:dyDescent="0.2">
      <c r="B36" s="475"/>
      <c r="C36" s="475"/>
    </row>
    <row r="37" spans="1:3" x14ac:dyDescent="0.2">
      <c r="B37" s="475"/>
      <c r="C37" s="475"/>
    </row>
    <row r="38" spans="1:3" x14ac:dyDescent="0.2">
      <c r="B38" s="475"/>
      <c r="C38" s="475"/>
    </row>
    <row r="39" spans="1:3" x14ac:dyDescent="0.2">
      <c r="B39" s="475"/>
      <c r="C39" s="475"/>
    </row>
    <row r="40" spans="1:3" x14ac:dyDescent="0.2">
      <c r="B40" s="475"/>
      <c r="C40" s="475"/>
    </row>
    <row r="41" spans="1:3" x14ac:dyDescent="0.2">
      <c r="B41" s="475"/>
      <c r="C41" s="475"/>
    </row>
    <row r="42" spans="1:3" x14ac:dyDescent="0.2">
      <c r="B42" s="475"/>
      <c r="C42" s="475"/>
    </row>
    <row r="43" spans="1:3" x14ac:dyDescent="0.2">
      <c r="B43" s="475"/>
      <c r="C43" s="475"/>
    </row>
    <row r="44" spans="1:3" x14ac:dyDescent="0.2">
      <c r="B44" s="475"/>
      <c r="C44" s="475"/>
    </row>
    <row r="45" spans="1:3" x14ac:dyDescent="0.2">
      <c r="B45" s="475"/>
      <c r="C45" s="475"/>
    </row>
    <row r="46" spans="1:3" x14ac:dyDescent="0.2">
      <c r="B46" s="475"/>
      <c r="C46" s="475"/>
    </row>
    <row r="47" spans="1:3" x14ac:dyDescent="0.2">
      <c r="B47" s="475"/>
      <c r="C47" s="475"/>
    </row>
    <row r="48" spans="1:3" x14ac:dyDescent="0.2">
      <c r="B48" s="475"/>
      <c r="C48" s="475"/>
    </row>
    <row r="49" spans="2:2" x14ac:dyDescent="0.2"/>
    <row r="50" spans="2:2" ht="15.75" x14ac:dyDescent="0.2">
      <c r="B50" s="476"/>
    </row>
    <row r="51" spans="2:2" x14ac:dyDescent="0.2"/>
    <row r="52" spans="2:2" x14ac:dyDescent="0.2"/>
    <row r="53" spans="2:2" x14ac:dyDescent="0.2"/>
  </sheetData>
  <sheetProtection algorithmName="SHA-512" hashValue="l0npU/67X6YZ+YUrOxVlRSIl1uUFFOrJUZjfBCaNJNGQ6P/YGj/LYn2m3posHIy/niiHBOW7r0Xx2HW0IfXM9w==" saltValue="oo80UrrHGKEbZNG6n3neVg==" spinCount="100000" sheet="1" objects="1" scenarios="1"/>
  <mergeCells count="4">
    <mergeCell ref="A1:C1"/>
    <mergeCell ref="B2:C2"/>
    <mergeCell ref="B21:C21"/>
    <mergeCell ref="B35:C35"/>
  </mergeCells>
  <phoneticPr fontId="0" type="noConversion"/>
  <printOptions horizontalCentered="1"/>
  <pageMargins left="0.75" right="0.75" top="1.5" bottom="0.5" header="0.25" footer="0.5"/>
  <pageSetup orientation="portrait" r:id="rId1"/>
  <headerFooter alignWithMargins="0">
    <oddHeader>&amp;C&amp;"Arial,Bold"&amp;14&amp;K05-043Mississippi State University
&amp;11Office of Institutional Research and Effectiveness
Common Data Set 2022-23</oddHeader>
    <oddFooter>&amp;L&amp;9&amp;K05-049Updated: &amp;D&amp;C&amp;9&amp;K05-049&amp;A&amp;R&amp;9&amp;K05-049Page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K59"/>
  <sheetViews>
    <sheetView showRuler="0" zoomScaleNormal="100" workbookViewId="0">
      <selection sqref="A1:G1"/>
    </sheetView>
  </sheetViews>
  <sheetFormatPr defaultRowHeight="12.75" zeroHeight="1" x14ac:dyDescent="0.2"/>
  <cols>
    <col min="1" max="1" width="3.85546875" style="3" customWidth="1"/>
    <col min="2" max="2" width="34.42578125" style="2" customWidth="1"/>
    <col min="3" max="3" width="4.7109375" style="2" customWidth="1"/>
    <col min="4" max="4" width="9.140625" style="2" customWidth="1"/>
    <col min="5" max="5" width="13.85546875" style="2" customWidth="1"/>
    <col min="6" max="6" width="15.85546875" style="2" customWidth="1"/>
    <col min="7" max="7" width="15.7109375" style="2" customWidth="1"/>
    <col min="8" max="8" width="10.140625" style="83" customWidth="1"/>
    <col min="9" max="11" width="9.140625" style="83"/>
    <col min="12" max="16384" width="9.140625" style="2"/>
  </cols>
  <sheetData>
    <row r="1" spans="1:7" ht="18" x14ac:dyDescent="0.2">
      <c r="A1" s="1" t="s">
        <v>569</v>
      </c>
      <c r="B1" s="1"/>
      <c r="C1" s="1"/>
      <c r="D1" s="1"/>
      <c r="E1" s="1"/>
      <c r="F1" s="1"/>
      <c r="G1" s="1"/>
    </row>
    <row r="2" spans="1:7" ht="8.25" customHeight="1" x14ac:dyDescent="0.2"/>
    <row r="3" spans="1:7" ht="28.5" customHeight="1" x14ac:dyDescent="0.2">
      <c r="A3" s="5" t="s">
        <v>255</v>
      </c>
      <c r="B3" s="216" t="s">
        <v>964</v>
      </c>
      <c r="C3" s="216"/>
      <c r="D3" s="216"/>
      <c r="E3" s="216"/>
      <c r="F3" s="216"/>
      <c r="G3" s="216"/>
    </row>
    <row r="4" spans="1:7" ht="37.5" customHeight="1" x14ac:dyDescent="0.2">
      <c r="A4" s="5"/>
      <c r="B4" s="55"/>
      <c r="C4" s="55"/>
      <c r="D4" s="55"/>
      <c r="F4" s="477" t="s">
        <v>695</v>
      </c>
      <c r="G4" s="477" t="s">
        <v>692</v>
      </c>
    </row>
    <row r="5" spans="1:7" x14ac:dyDescent="0.2">
      <c r="A5" s="5"/>
      <c r="B5" s="28" t="s">
        <v>822</v>
      </c>
      <c r="C5" s="28"/>
      <c r="D5" s="28"/>
      <c r="E5" s="405"/>
      <c r="F5" s="478">
        <f>1360/(SUM('B. Enrollment and Persistence'!J9))</f>
        <v>0.4039204039204039</v>
      </c>
      <c r="G5" s="478">
        <f>5688/(SUM('B. Enrollment and Persistence'!J14))</f>
        <v>0.31073477192024035</v>
      </c>
    </row>
    <row r="6" spans="1:7" ht="14.45" customHeight="1" x14ac:dyDescent="0.25">
      <c r="A6" s="5"/>
      <c r="B6" s="4" t="s">
        <v>693</v>
      </c>
      <c r="C6" s="4"/>
      <c r="D6" s="4"/>
      <c r="E6" s="479"/>
      <c r="F6" s="480">
        <f xml:space="preserve"> 400 / SUM('C.First-time Freshmen Admission'!E15:E16)</f>
        <v>0.24721878862793573</v>
      </c>
      <c r="G6" s="480">
        <f xml:space="preserve"> 1804/ 'B. Enrollment and Persistence'!H14</f>
        <v>0.19898521950143394</v>
      </c>
    </row>
    <row r="7" spans="1:7" ht="14.45" customHeight="1" x14ac:dyDescent="0.25">
      <c r="A7" s="5"/>
      <c r="B7" s="4" t="s">
        <v>694</v>
      </c>
      <c r="C7" s="4"/>
      <c r="D7" s="4"/>
      <c r="E7" s="479"/>
      <c r="F7" s="480">
        <f>647 / SUM('C.First-time Freshmen Admission'!E18:E19)</f>
        <v>0.36992567181246427</v>
      </c>
      <c r="G7" s="480">
        <f>2386 /'B. Enrollment and Persistence'!I14</f>
        <v>0.25825305769022622</v>
      </c>
    </row>
    <row r="8" spans="1:7" ht="12.95" customHeight="1" x14ac:dyDescent="0.2">
      <c r="A8" s="5"/>
      <c r="B8" s="4" t="s">
        <v>570</v>
      </c>
      <c r="C8" s="4"/>
      <c r="D8" s="4"/>
      <c r="E8" s="479"/>
      <c r="F8" s="481">
        <f>3250/SUM('C.First-time Freshmen Admission'!E15:E19)</f>
        <v>0.96525096525096521</v>
      </c>
      <c r="G8" s="482">
        <f>5826/SUM('B. Enrollment and Persistence'!C14:F14)</f>
        <v>0.31827369571155423</v>
      </c>
    </row>
    <row r="9" spans="1:7" x14ac:dyDescent="0.2">
      <c r="A9" s="5"/>
      <c r="B9" s="4" t="s">
        <v>571</v>
      </c>
      <c r="C9" s="4"/>
      <c r="D9" s="4"/>
      <c r="E9" s="479"/>
      <c r="F9" s="481">
        <f>1-F8</f>
        <v>3.4749034749034791E-2</v>
      </c>
      <c r="G9" s="482">
        <f>1-G8</f>
        <v>0.68172630428844583</v>
      </c>
    </row>
    <row r="10" spans="1:7" x14ac:dyDescent="0.2">
      <c r="A10" s="5"/>
      <c r="B10" s="4" t="s">
        <v>572</v>
      </c>
      <c r="C10" s="4"/>
      <c r="D10" s="4"/>
      <c r="E10" s="479"/>
      <c r="F10" s="483">
        <v>2.0999999999999999E-3</v>
      </c>
      <c r="G10" s="484">
        <v>8.3699999999999997E-2</v>
      </c>
    </row>
    <row r="11" spans="1:7" x14ac:dyDescent="0.2">
      <c r="A11" s="5"/>
      <c r="B11" s="4" t="s">
        <v>573</v>
      </c>
      <c r="C11" s="4"/>
      <c r="D11" s="4"/>
      <c r="E11" s="479"/>
      <c r="F11" s="485">
        <v>18</v>
      </c>
      <c r="G11" s="485">
        <v>21</v>
      </c>
    </row>
    <row r="12" spans="1:7" ht="12.95" customHeight="1" x14ac:dyDescent="0.2">
      <c r="A12" s="5"/>
      <c r="B12" s="4" t="s">
        <v>574</v>
      </c>
      <c r="C12" s="4"/>
      <c r="D12" s="4"/>
      <c r="E12" s="479"/>
      <c r="F12" s="485">
        <v>18</v>
      </c>
      <c r="G12" s="485">
        <v>21</v>
      </c>
    </row>
    <row r="13" spans="1:7" ht="9.75" customHeight="1" x14ac:dyDescent="0.2">
      <c r="G13" s="486"/>
    </row>
    <row r="14" spans="1:7" x14ac:dyDescent="0.2">
      <c r="A14" s="5" t="s">
        <v>254</v>
      </c>
      <c r="B14" s="164" t="s">
        <v>406</v>
      </c>
      <c r="C14" s="4"/>
      <c r="D14" s="4"/>
      <c r="E14" s="165"/>
      <c r="F14" s="165"/>
      <c r="G14" s="486"/>
    </row>
    <row r="15" spans="1:7" x14ac:dyDescent="0.2">
      <c r="A15" s="18" t="s">
        <v>684</v>
      </c>
      <c r="B15" s="487" t="s">
        <v>403</v>
      </c>
      <c r="C15" s="488"/>
      <c r="D15" s="7"/>
      <c r="E15" s="284"/>
      <c r="F15" s="284"/>
    </row>
    <row r="16" spans="1:7" x14ac:dyDescent="0.2">
      <c r="A16" s="18" t="s">
        <v>684</v>
      </c>
      <c r="B16" s="489" t="s">
        <v>575</v>
      </c>
      <c r="C16" s="488"/>
    </row>
    <row r="17" spans="1:3" x14ac:dyDescent="0.2">
      <c r="A17" s="18" t="s">
        <v>684</v>
      </c>
      <c r="B17" s="489" t="s">
        <v>576</v>
      </c>
      <c r="C17" s="488"/>
    </row>
    <row r="18" spans="1:3" x14ac:dyDescent="0.2">
      <c r="A18" s="18" t="s">
        <v>684</v>
      </c>
      <c r="B18" s="489" t="s">
        <v>226</v>
      </c>
      <c r="C18" s="488"/>
    </row>
    <row r="19" spans="1:3" x14ac:dyDescent="0.2">
      <c r="A19" s="18" t="s">
        <v>684</v>
      </c>
      <c r="B19" s="489" t="s">
        <v>227</v>
      </c>
      <c r="C19" s="488"/>
    </row>
    <row r="20" spans="1:3" x14ac:dyDescent="0.2">
      <c r="A20" s="18" t="s">
        <v>684</v>
      </c>
      <c r="B20" s="490" t="s">
        <v>404</v>
      </c>
      <c r="C20" s="488"/>
    </row>
    <row r="21" spans="1:3" x14ac:dyDescent="0.2">
      <c r="A21" s="18" t="s">
        <v>684</v>
      </c>
      <c r="B21" s="489" t="s">
        <v>228</v>
      </c>
      <c r="C21" s="488"/>
    </row>
    <row r="22" spans="1:3" x14ac:dyDescent="0.2">
      <c r="A22" s="18" t="s">
        <v>684</v>
      </c>
      <c r="B22" s="489" t="s">
        <v>229</v>
      </c>
      <c r="C22" s="488"/>
    </row>
    <row r="23" spans="1:3" x14ac:dyDescent="0.2">
      <c r="A23" s="18" t="s">
        <v>684</v>
      </c>
      <c r="B23" s="489" t="s">
        <v>230</v>
      </c>
      <c r="C23" s="488"/>
    </row>
    <row r="24" spans="1:3" x14ac:dyDescent="0.2">
      <c r="A24" s="18" t="s">
        <v>684</v>
      </c>
      <c r="B24" s="489" t="s">
        <v>405</v>
      </c>
      <c r="C24" s="488"/>
    </row>
    <row r="25" spans="1:3" x14ac:dyDescent="0.2">
      <c r="A25" s="18" t="s">
        <v>684</v>
      </c>
      <c r="B25" s="489" t="s">
        <v>231</v>
      </c>
      <c r="C25" s="488"/>
    </row>
    <row r="26" spans="1:3" x14ac:dyDescent="0.2">
      <c r="A26" s="18" t="s">
        <v>684</v>
      </c>
      <c r="B26" s="489" t="s">
        <v>232</v>
      </c>
      <c r="C26" s="488"/>
    </row>
    <row r="27" spans="1:3" x14ac:dyDescent="0.2">
      <c r="A27" s="18"/>
      <c r="B27" s="489" t="s">
        <v>233</v>
      </c>
      <c r="C27" s="488"/>
    </row>
    <row r="28" spans="1:3" x14ac:dyDescent="0.2">
      <c r="A28" s="18" t="s">
        <v>684</v>
      </c>
      <c r="B28" s="489" t="s">
        <v>234</v>
      </c>
      <c r="C28" s="488"/>
    </row>
    <row r="29" spans="1:3" x14ac:dyDescent="0.2">
      <c r="A29" s="18" t="s">
        <v>684</v>
      </c>
      <c r="B29" s="489" t="s">
        <v>235</v>
      </c>
      <c r="C29" s="488"/>
    </row>
    <row r="30" spans="1:3" x14ac:dyDescent="0.2">
      <c r="A30" s="18" t="s">
        <v>684</v>
      </c>
      <c r="B30" s="489" t="s">
        <v>236</v>
      </c>
      <c r="C30" s="488"/>
    </row>
    <row r="31" spans="1:3" x14ac:dyDescent="0.2">
      <c r="A31" s="18" t="s">
        <v>684</v>
      </c>
      <c r="B31" s="489" t="s">
        <v>237</v>
      </c>
      <c r="C31" s="488"/>
    </row>
    <row r="32" spans="1:3" x14ac:dyDescent="0.2">
      <c r="A32" s="18" t="s">
        <v>684</v>
      </c>
      <c r="B32" s="489" t="s">
        <v>238</v>
      </c>
      <c r="C32" s="488"/>
    </row>
    <row r="33" spans="1:11" x14ac:dyDescent="0.2">
      <c r="A33" s="18" t="s">
        <v>684</v>
      </c>
      <c r="B33" s="489" t="s">
        <v>239</v>
      </c>
      <c r="C33" s="488"/>
    </row>
    <row r="34" spans="1:11" x14ac:dyDescent="0.2">
      <c r="A34" s="18" t="s">
        <v>684</v>
      </c>
      <c r="B34" s="489" t="s">
        <v>240</v>
      </c>
      <c r="C34" s="488"/>
    </row>
    <row r="35" spans="1:11" x14ac:dyDescent="0.2">
      <c r="A35" s="18"/>
      <c r="B35" s="489" t="s">
        <v>241</v>
      </c>
      <c r="C35" s="488"/>
    </row>
    <row r="36" spans="1:11" ht="9" customHeight="1" x14ac:dyDescent="0.2"/>
    <row r="37" spans="1:11" x14ac:dyDescent="0.2">
      <c r="A37" s="5" t="s">
        <v>253</v>
      </c>
      <c r="B37" s="164" t="s">
        <v>510</v>
      </c>
      <c r="C37" s="216"/>
      <c r="D37" s="216"/>
      <c r="E37" s="232"/>
      <c r="F37" s="232"/>
      <c r="G37" s="124"/>
    </row>
    <row r="38" spans="1:11" ht="9" customHeight="1" x14ac:dyDescent="0.2"/>
    <row r="39" spans="1:11" s="491" customFormat="1" ht="26.1" customHeight="1" x14ac:dyDescent="0.2">
      <c r="A39" s="5"/>
      <c r="B39" s="235"/>
      <c r="D39" s="492"/>
      <c r="E39" s="493" t="s">
        <v>410</v>
      </c>
      <c r="F39" s="493" t="s">
        <v>412</v>
      </c>
      <c r="G39" s="493" t="s">
        <v>411</v>
      </c>
      <c r="H39" s="494"/>
      <c r="I39" s="494"/>
      <c r="J39" s="494"/>
      <c r="K39" s="494"/>
    </row>
    <row r="40" spans="1:11" x14ac:dyDescent="0.2">
      <c r="A40" s="5"/>
      <c r="B40" s="495" t="s">
        <v>407</v>
      </c>
      <c r="C40" s="495"/>
      <c r="D40" s="496"/>
      <c r="E40" s="497" t="s">
        <v>684</v>
      </c>
      <c r="F40" s="56"/>
      <c r="G40" s="498"/>
    </row>
    <row r="41" spans="1:11" x14ac:dyDescent="0.2">
      <c r="A41" s="5"/>
      <c r="B41" s="495" t="s">
        <v>408</v>
      </c>
      <c r="C41" s="495"/>
      <c r="D41" s="496"/>
      <c r="E41" s="497"/>
      <c r="F41" s="56"/>
      <c r="G41" s="498"/>
    </row>
    <row r="42" spans="1:11" x14ac:dyDescent="0.2">
      <c r="A42" s="5"/>
      <c r="B42" s="495" t="s">
        <v>409</v>
      </c>
      <c r="C42" s="495"/>
      <c r="D42" s="496"/>
      <c r="E42" s="497" t="s">
        <v>684</v>
      </c>
      <c r="F42" s="56"/>
      <c r="G42" s="498"/>
    </row>
    <row r="43" spans="1:11" ht="9" customHeight="1" x14ac:dyDescent="0.2"/>
    <row r="44" spans="1:11" ht="26.25" customHeight="1" x14ac:dyDescent="0.2">
      <c r="A44" s="5" t="s">
        <v>252</v>
      </c>
      <c r="B44" s="164" t="s">
        <v>372</v>
      </c>
      <c r="C44" s="164"/>
      <c r="D44" s="164"/>
      <c r="E44" s="164"/>
      <c r="F44" s="164"/>
      <c r="G44" s="164"/>
    </row>
    <row r="45" spans="1:11" x14ac:dyDescent="0.2">
      <c r="A45" s="18" t="s">
        <v>684</v>
      </c>
      <c r="B45" s="489" t="s">
        <v>242</v>
      </c>
      <c r="C45" s="488"/>
    </row>
    <row r="46" spans="1:11" x14ac:dyDescent="0.2">
      <c r="A46" s="18" t="s">
        <v>684</v>
      </c>
      <c r="B46" s="489" t="s">
        <v>243</v>
      </c>
      <c r="C46" s="488"/>
    </row>
    <row r="47" spans="1:11" x14ac:dyDescent="0.2">
      <c r="A47" s="18" t="s">
        <v>684</v>
      </c>
      <c r="B47" s="489" t="s">
        <v>244</v>
      </c>
      <c r="C47" s="488"/>
    </row>
    <row r="48" spans="1:11" x14ac:dyDescent="0.2">
      <c r="A48" s="18"/>
      <c r="B48" s="489" t="s">
        <v>245</v>
      </c>
      <c r="C48" s="488"/>
    </row>
    <row r="49" spans="1:5" x14ac:dyDescent="0.2">
      <c r="A49" s="18" t="s">
        <v>684</v>
      </c>
      <c r="B49" s="489" t="s">
        <v>246</v>
      </c>
      <c r="C49" s="488"/>
    </row>
    <row r="50" spans="1:5" x14ac:dyDescent="0.2">
      <c r="A50" s="18"/>
      <c r="B50" s="489" t="s">
        <v>247</v>
      </c>
      <c r="C50" s="488"/>
    </row>
    <row r="51" spans="1:5" x14ac:dyDescent="0.2">
      <c r="A51" s="18"/>
      <c r="B51" s="499" t="s">
        <v>248</v>
      </c>
      <c r="C51" s="28"/>
    </row>
    <row r="52" spans="1:5" x14ac:dyDescent="0.2">
      <c r="A52" s="18" t="s">
        <v>684</v>
      </c>
      <c r="B52" s="489" t="s">
        <v>249</v>
      </c>
      <c r="C52" s="488"/>
    </row>
    <row r="53" spans="1:5" x14ac:dyDescent="0.2">
      <c r="A53" s="18"/>
      <c r="B53" s="489" t="s">
        <v>250</v>
      </c>
      <c r="C53" s="488"/>
    </row>
    <row r="54" spans="1:5" x14ac:dyDescent="0.2">
      <c r="A54" s="18" t="s">
        <v>684</v>
      </c>
      <c r="B54" s="489" t="s">
        <v>105</v>
      </c>
      <c r="C54" s="488"/>
    </row>
    <row r="55" spans="1:5" x14ac:dyDescent="0.2">
      <c r="A55" s="18"/>
      <c r="B55" s="489" t="s">
        <v>106</v>
      </c>
      <c r="C55" s="488"/>
    </row>
    <row r="56" spans="1:5" ht="15.75" customHeight="1" x14ac:dyDescent="0.2">
      <c r="A56" s="18" t="s">
        <v>684</v>
      </c>
      <c r="B56" s="489" t="s">
        <v>251</v>
      </c>
      <c r="C56" s="500" t="s">
        <v>702</v>
      </c>
      <c r="D56" s="500"/>
      <c r="E56" s="500"/>
    </row>
    <row r="57" spans="1:5" ht="13.5" customHeight="1" x14ac:dyDescent="0.2">
      <c r="A57" s="5"/>
      <c r="C57" s="501"/>
      <c r="D57" s="176"/>
    </row>
    <row r="58" spans="1:5" ht="3.75" customHeight="1" x14ac:dyDescent="0.2">
      <c r="A58" s="5"/>
      <c r="B58" s="166"/>
      <c r="C58" s="166"/>
    </row>
    <row r="59" spans="1:5" ht="4.5" hidden="1" customHeight="1" x14ac:dyDescent="0.2"/>
  </sheetData>
  <sheetProtection algorithmName="SHA-512" hashValue="KkOK4g2tbdpKKqJd1qIJ78579VrHAy3/dNFlHIc85PYIK7qGZioT73do0DhA8wXPhTx4B5kUo2lo51quI5nixA==" saltValue="Y05sFUH33w1vjFkZK6luOg==" spinCount="100000" sheet="1" objects="1" scenarios="1"/>
  <mergeCells count="20">
    <mergeCell ref="B58:C58"/>
    <mergeCell ref="B44:G44"/>
    <mergeCell ref="C56:E56"/>
    <mergeCell ref="B9:E9"/>
    <mergeCell ref="B10:E10"/>
    <mergeCell ref="B11:E11"/>
    <mergeCell ref="B12:E12"/>
    <mergeCell ref="B40:D40"/>
    <mergeCell ref="B41:D41"/>
    <mergeCell ref="B42:D42"/>
    <mergeCell ref="B51:C51"/>
    <mergeCell ref="B6:E6"/>
    <mergeCell ref="B7:E7"/>
    <mergeCell ref="B8:E8"/>
    <mergeCell ref="A1:G1"/>
    <mergeCell ref="B37:F37"/>
    <mergeCell ref="B14:F14"/>
    <mergeCell ref="B4:D4"/>
    <mergeCell ref="B3:G3"/>
    <mergeCell ref="B5:E5"/>
  </mergeCells>
  <phoneticPr fontId="0" type="noConversion"/>
  <printOptions horizontalCentered="1"/>
  <pageMargins left="0.75" right="0.75" top="1.5" bottom="0.5" header="0.25" footer="0.5"/>
  <pageSetup scale="83" orientation="portrait" r:id="rId1"/>
  <headerFooter alignWithMargins="0">
    <oddHeader>&amp;C&amp;"Arial,Bold"&amp;14&amp;K05-043Mississippi State University
&amp;11Office of Institutional Research and Effectiveness
Common Data Set 2022-23</oddHeader>
    <oddFooter>&amp;L&amp;9&amp;K05-049Updated: &amp;D&amp;C&amp;9&amp;K05-049&amp;A&amp;R&amp;9&amp;K05-049Page &amp;P</oddFooter>
  </headerFooter>
  <rowBreaks count="1" manualBreakCount="1">
    <brk id="43" max="6"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7C7D0A-4B3E-4BCE-ABB6-95C45D5B17BF}">
  <sheetPr codeName="Sheet7"/>
  <dimension ref="A1:E52"/>
  <sheetViews>
    <sheetView topLeftCell="A3" zoomScaleNormal="100" workbookViewId="0">
      <selection sqref="A1:E1"/>
    </sheetView>
  </sheetViews>
  <sheetFormatPr defaultRowHeight="12.75" x14ac:dyDescent="0.2"/>
  <cols>
    <col min="1" max="1" width="4.7109375" style="2" customWidth="1"/>
    <col min="2" max="2" width="26.42578125" style="2" customWidth="1"/>
    <col min="3" max="3" width="34.42578125" style="2" customWidth="1"/>
    <col min="4" max="4" width="15.140625" style="2" customWidth="1"/>
    <col min="5" max="5" width="17.5703125" style="2" customWidth="1"/>
    <col min="6" max="16384" width="9.140625" style="2"/>
  </cols>
  <sheetData>
    <row r="1" spans="1:5" ht="18" x14ac:dyDescent="0.2">
      <c r="A1" s="1" t="s">
        <v>373</v>
      </c>
      <c r="B1" s="1"/>
      <c r="C1" s="1"/>
      <c r="D1" s="1"/>
      <c r="E1" s="1"/>
    </row>
    <row r="2" spans="1:5" ht="18" x14ac:dyDescent="0.2">
      <c r="A2" s="502"/>
      <c r="B2" s="502"/>
      <c r="C2" s="502"/>
      <c r="D2" s="502"/>
      <c r="E2" s="502"/>
    </row>
    <row r="3" spans="1:5" x14ac:dyDescent="0.2">
      <c r="A3" s="5" t="s">
        <v>501</v>
      </c>
      <c r="B3" s="503" t="s">
        <v>99</v>
      </c>
      <c r="C3" s="503"/>
      <c r="D3" s="503"/>
      <c r="E3" s="504"/>
    </row>
    <row r="4" spans="1:5" x14ac:dyDescent="0.2">
      <c r="A4" s="3"/>
      <c r="B4" s="505" t="s">
        <v>757</v>
      </c>
      <c r="C4" s="506"/>
      <c r="D4" s="506"/>
      <c r="E4" s="506"/>
    </row>
    <row r="5" spans="1:5" ht="26.25" customHeight="1" x14ac:dyDescent="0.2">
      <c r="A5" s="3"/>
      <c r="B5" s="164" t="s">
        <v>959</v>
      </c>
      <c r="C5" s="164"/>
      <c r="D5" s="164"/>
      <c r="E5" s="164"/>
    </row>
    <row r="6" spans="1:5" x14ac:dyDescent="0.2">
      <c r="A6" s="507"/>
      <c r="B6" s="347"/>
      <c r="C6" s="347"/>
      <c r="D6" s="347"/>
      <c r="E6" s="347"/>
    </row>
    <row r="7" spans="1:5" ht="39.75" customHeight="1" x14ac:dyDescent="0.2">
      <c r="A7" s="189" t="s">
        <v>684</v>
      </c>
      <c r="B7" s="499" t="s">
        <v>960</v>
      </c>
      <c r="C7" s="216"/>
      <c r="D7" s="216"/>
      <c r="E7" s="216"/>
    </row>
    <row r="8" spans="1:5" x14ac:dyDescent="0.2">
      <c r="A8" s="507"/>
      <c r="B8" s="508">
        <v>45108</v>
      </c>
      <c r="C8" s="347"/>
      <c r="D8" s="347"/>
      <c r="E8" s="509"/>
    </row>
    <row r="9" spans="1:5" x14ac:dyDescent="0.2">
      <c r="A9" s="5"/>
      <c r="B9" s="5"/>
      <c r="C9" s="5"/>
      <c r="D9" s="5"/>
      <c r="E9" s="5"/>
    </row>
    <row r="10" spans="1:5" x14ac:dyDescent="0.2">
      <c r="A10" s="5" t="s">
        <v>387</v>
      </c>
      <c r="B10" s="333" t="s">
        <v>939</v>
      </c>
      <c r="C10" s="216"/>
      <c r="D10" s="216"/>
      <c r="E10" s="216"/>
    </row>
    <row r="11" spans="1:5" x14ac:dyDescent="0.2">
      <c r="A11" s="5"/>
      <c r="B11" s="337"/>
      <c r="C11" s="347"/>
      <c r="D11" s="347"/>
      <c r="E11" s="347"/>
    </row>
    <row r="12" spans="1:5" x14ac:dyDescent="0.2">
      <c r="A12" s="5"/>
      <c r="B12" s="333" t="s">
        <v>823</v>
      </c>
      <c r="C12" s="333"/>
      <c r="D12" s="333"/>
      <c r="E12" s="333"/>
    </row>
    <row r="13" spans="1:5" x14ac:dyDescent="0.2">
      <c r="A13" s="5"/>
      <c r="B13" s="261" t="s">
        <v>824</v>
      </c>
      <c r="C13" s="261"/>
      <c r="D13" s="261"/>
      <c r="E13" s="261"/>
    </row>
    <row r="14" spans="1:5" x14ac:dyDescent="0.2">
      <c r="A14" s="5"/>
      <c r="B14" s="333" t="s">
        <v>825</v>
      </c>
      <c r="C14" s="333"/>
      <c r="D14" s="333"/>
      <c r="E14" s="333"/>
    </row>
    <row r="15" spans="1:5" x14ac:dyDescent="0.2">
      <c r="A15" s="5"/>
      <c r="B15" s="261" t="s">
        <v>826</v>
      </c>
      <c r="C15" s="261"/>
      <c r="D15" s="261"/>
      <c r="E15" s="261"/>
    </row>
    <row r="16" spans="1:5" ht="13.5" thickBot="1" x14ac:dyDescent="0.25">
      <c r="A16" s="5"/>
    </row>
    <row r="17" spans="1:5" x14ac:dyDescent="0.2">
      <c r="A17" s="5"/>
      <c r="B17" s="510" t="s">
        <v>827</v>
      </c>
      <c r="C17" s="282"/>
      <c r="D17" s="511" t="s">
        <v>374</v>
      </c>
      <c r="E17" s="512" t="s">
        <v>179</v>
      </c>
    </row>
    <row r="18" spans="1:5" x14ac:dyDescent="0.2">
      <c r="A18" s="5"/>
      <c r="B18" s="298"/>
      <c r="C18" s="297" t="s">
        <v>833</v>
      </c>
      <c r="D18" s="513">
        <v>9248</v>
      </c>
      <c r="E18" s="514">
        <v>9248</v>
      </c>
    </row>
    <row r="19" spans="1:5" x14ac:dyDescent="0.2">
      <c r="A19" s="5"/>
      <c r="B19" s="298"/>
      <c r="C19" s="297" t="s">
        <v>828</v>
      </c>
      <c r="D19" s="513">
        <v>25294</v>
      </c>
      <c r="E19" s="514">
        <v>25294</v>
      </c>
    </row>
    <row r="20" spans="1:5" ht="13.5" thickBot="1" x14ac:dyDescent="0.25">
      <c r="A20" s="5"/>
      <c r="B20" s="288"/>
      <c r="C20" s="287" t="s">
        <v>829</v>
      </c>
      <c r="D20" s="515">
        <v>25294</v>
      </c>
      <c r="E20" s="516">
        <v>25294</v>
      </c>
    </row>
    <row r="21" spans="1:5" ht="13.5" thickBot="1" x14ac:dyDescent="0.25">
      <c r="A21" s="5"/>
      <c r="B21" s="510" t="s">
        <v>830</v>
      </c>
      <c r="D21" s="517"/>
      <c r="E21" s="518"/>
    </row>
    <row r="22" spans="1:5" x14ac:dyDescent="0.2">
      <c r="A22" s="5"/>
      <c r="C22" s="287" t="s">
        <v>831</v>
      </c>
      <c r="D22" s="519">
        <v>150</v>
      </c>
      <c r="E22" s="520">
        <v>150</v>
      </c>
    </row>
    <row r="23" spans="1:5" x14ac:dyDescent="0.2">
      <c r="A23" s="5"/>
      <c r="C23" s="287" t="s">
        <v>832</v>
      </c>
      <c r="D23" s="521">
        <f>SUM(D24:D25)</f>
        <v>11190</v>
      </c>
      <c r="E23" s="514">
        <f>SUM(E24:E25)</f>
        <v>11190</v>
      </c>
    </row>
    <row r="24" spans="1:5" x14ac:dyDescent="0.2">
      <c r="A24" s="5"/>
      <c r="C24" s="287" t="s">
        <v>834</v>
      </c>
      <c r="D24" s="513">
        <v>6822</v>
      </c>
      <c r="E24" s="514">
        <v>6822</v>
      </c>
    </row>
    <row r="25" spans="1:5" ht="13.5" thickBot="1" x14ac:dyDescent="0.25">
      <c r="A25" s="3"/>
      <c r="C25" s="287" t="s">
        <v>835</v>
      </c>
      <c r="D25" s="515">
        <v>4368</v>
      </c>
      <c r="E25" s="516">
        <v>4368</v>
      </c>
    </row>
    <row r="26" spans="1:5" x14ac:dyDescent="0.2">
      <c r="A26" s="3"/>
      <c r="C26" s="287"/>
      <c r="D26" s="522"/>
      <c r="E26" s="522"/>
    </row>
    <row r="27" spans="1:5" x14ac:dyDescent="0.2">
      <c r="A27" s="3"/>
      <c r="B27" s="523" t="s">
        <v>961</v>
      </c>
      <c r="C27" s="523"/>
      <c r="D27" s="523"/>
    </row>
    <row r="28" spans="1:5" x14ac:dyDescent="0.2">
      <c r="A28" s="5"/>
      <c r="B28" s="523" t="s">
        <v>962</v>
      </c>
      <c r="C28" s="523"/>
      <c r="D28" s="523"/>
    </row>
    <row r="29" spans="1:5" x14ac:dyDescent="0.2">
      <c r="A29" s="5"/>
      <c r="B29" s="523" t="s">
        <v>963</v>
      </c>
      <c r="C29" s="523"/>
      <c r="D29" s="523"/>
    </row>
    <row r="30" spans="1:5" ht="13.5" thickBot="1" x14ac:dyDescent="0.25">
      <c r="A30" s="3"/>
      <c r="B30" s="524"/>
      <c r="C30" s="524"/>
      <c r="D30" s="524"/>
    </row>
    <row r="31" spans="1:5" x14ac:dyDescent="0.2">
      <c r="A31" s="5"/>
      <c r="B31" s="260"/>
      <c r="C31" s="525"/>
      <c r="D31" s="526" t="s">
        <v>376</v>
      </c>
      <c r="E31" s="527" t="s">
        <v>377</v>
      </c>
    </row>
    <row r="32" spans="1:5" ht="13.5" thickBot="1" x14ac:dyDescent="0.25">
      <c r="A32" s="5" t="s">
        <v>204</v>
      </c>
      <c r="B32" s="528" t="s">
        <v>375</v>
      </c>
      <c r="C32" s="529"/>
      <c r="D32" s="530">
        <v>12</v>
      </c>
      <c r="E32" s="531"/>
    </row>
    <row r="33" spans="1:5" ht="13.5" thickBot="1" x14ac:dyDescent="0.25">
      <c r="A33" s="3"/>
      <c r="D33" s="532"/>
    </row>
    <row r="34" spans="1:5" x14ac:dyDescent="0.2">
      <c r="A34" s="5"/>
      <c r="B34" s="260"/>
      <c r="C34" s="525"/>
      <c r="D34" s="526" t="s">
        <v>344</v>
      </c>
      <c r="E34" s="527" t="s">
        <v>345</v>
      </c>
    </row>
    <row r="35" spans="1:5" ht="13.5" thickBot="1" x14ac:dyDescent="0.25">
      <c r="A35" s="5" t="s">
        <v>205</v>
      </c>
      <c r="B35" s="528" t="s">
        <v>208</v>
      </c>
      <c r="C35" s="529"/>
      <c r="D35" s="533"/>
      <c r="E35" s="534" t="s">
        <v>684</v>
      </c>
    </row>
    <row r="36" spans="1:5" ht="13.5" thickBot="1" x14ac:dyDescent="0.25">
      <c r="A36" s="3"/>
      <c r="D36" s="532"/>
    </row>
    <row r="37" spans="1:5" x14ac:dyDescent="0.2">
      <c r="A37" s="5"/>
      <c r="B37" s="260"/>
      <c r="C37" s="525"/>
      <c r="D37" s="526" t="s">
        <v>344</v>
      </c>
      <c r="E37" s="527" t="s">
        <v>345</v>
      </c>
    </row>
    <row r="38" spans="1:5" ht="13.5" thickBot="1" x14ac:dyDescent="0.25">
      <c r="A38" s="5" t="s">
        <v>206</v>
      </c>
      <c r="B38" s="4" t="s">
        <v>100</v>
      </c>
      <c r="C38" s="535"/>
      <c r="D38" s="533"/>
      <c r="E38" s="534" t="s">
        <v>684</v>
      </c>
    </row>
    <row r="39" spans="1:5" x14ac:dyDescent="0.2">
      <c r="A39" s="3"/>
      <c r="B39" s="55"/>
      <c r="C39" s="55"/>
      <c r="D39" s="55"/>
      <c r="E39" s="55"/>
    </row>
    <row r="40" spans="1:5" ht="13.5" thickBot="1" x14ac:dyDescent="0.25">
      <c r="A40" s="5" t="s">
        <v>207</v>
      </c>
      <c r="B40" s="216" t="s">
        <v>378</v>
      </c>
      <c r="C40" s="4"/>
      <c r="D40" s="4"/>
      <c r="E40" s="4"/>
    </row>
    <row r="41" spans="1:5" ht="38.25" x14ac:dyDescent="0.2">
      <c r="A41" s="5"/>
      <c r="B41" s="354"/>
      <c r="C41" s="536" t="s">
        <v>379</v>
      </c>
      <c r="D41" s="536" t="s">
        <v>380</v>
      </c>
      <c r="E41" s="537" t="s">
        <v>381</v>
      </c>
    </row>
    <row r="42" spans="1:5" x14ac:dyDescent="0.2">
      <c r="A42" s="5"/>
      <c r="B42" s="351" t="s">
        <v>382</v>
      </c>
      <c r="C42" s="538">
        <v>1200</v>
      </c>
      <c r="D42" s="538">
        <v>1200</v>
      </c>
      <c r="E42" s="539">
        <v>1200</v>
      </c>
    </row>
    <row r="43" spans="1:5" x14ac:dyDescent="0.2">
      <c r="A43" s="5"/>
      <c r="B43" s="540" t="s">
        <v>383</v>
      </c>
      <c r="C43" s="541"/>
      <c r="D43" s="541"/>
      <c r="E43" s="539">
        <v>6822</v>
      </c>
    </row>
    <row r="44" spans="1:5" x14ac:dyDescent="0.2">
      <c r="A44" s="5"/>
      <c r="B44" s="351" t="s">
        <v>384</v>
      </c>
      <c r="C44" s="541"/>
      <c r="D44" s="538">
        <v>4368</v>
      </c>
      <c r="E44" s="539">
        <v>4368</v>
      </c>
    </row>
    <row r="45" spans="1:5" x14ac:dyDescent="0.2">
      <c r="A45" s="5"/>
      <c r="B45" s="351" t="s">
        <v>385</v>
      </c>
      <c r="C45" s="538">
        <v>2335</v>
      </c>
      <c r="D45" s="538">
        <v>2567</v>
      </c>
      <c r="E45" s="539">
        <v>2335</v>
      </c>
    </row>
    <row r="46" spans="1:5" ht="13.5" thickBot="1" x14ac:dyDescent="0.25">
      <c r="A46" s="5"/>
      <c r="B46" s="351" t="s">
        <v>386</v>
      </c>
      <c r="C46" s="542">
        <v>3210</v>
      </c>
      <c r="D46" s="542">
        <v>3210</v>
      </c>
      <c r="E46" s="543">
        <v>3210</v>
      </c>
    </row>
    <row r="47" spans="1:5" x14ac:dyDescent="0.2">
      <c r="A47" s="3"/>
    </row>
    <row r="48" spans="1:5" x14ac:dyDescent="0.2">
      <c r="A48" s="3"/>
    </row>
    <row r="49" spans="1:3" ht="13.5" thickBot="1" x14ac:dyDescent="0.25">
      <c r="A49" s="5" t="s">
        <v>284</v>
      </c>
      <c r="B49" s="216" t="s">
        <v>450</v>
      </c>
      <c r="C49" s="216"/>
    </row>
    <row r="50" spans="1:3" x14ac:dyDescent="0.2">
      <c r="A50" s="5"/>
      <c r="B50" s="297" t="s">
        <v>833</v>
      </c>
      <c r="C50" s="544">
        <v>385.5</v>
      </c>
    </row>
    <row r="51" spans="1:3" x14ac:dyDescent="0.2">
      <c r="A51" s="5"/>
      <c r="B51" s="297" t="s">
        <v>828</v>
      </c>
      <c r="C51" s="545">
        <v>1054.25</v>
      </c>
    </row>
    <row r="52" spans="1:3" ht="13.5" thickBot="1" x14ac:dyDescent="0.25">
      <c r="A52" s="5"/>
      <c r="B52" s="287" t="s">
        <v>829</v>
      </c>
      <c r="C52" s="546">
        <v>1054.25</v>
      </c>
    </row>
  </sheetData>
  <sheetProtection algorithmName="SHA-512" hashValue="VdU0CJ6gVuWkbyMb108JAaCSdWAAUUoJWNjV25BaCJrbx6l4EURgZd94mXqOq3/plT4lI1IAyZzu2e6VDBQRMw==" saltValue="O773DaYJkWfT1hg2bxQeBg==" spinCount="100000" sheet="1" objects="1" scenarios="1"/>
  <mergeCells count="22">
    <mergeCell ref="B28:D28"/>
    <mergeCell ref="A1:E1"/>
    <mergeCell ref="B3:D3"/>
    <mergeCell ref="B4:E4"/>
    <mergeCell ref="B5:E5"/>
    <mergeCell ref="B7:E7"/>
    <mergeCell ref="B10:E10"/>
    <mergeCell ref="B12:E12"/>
    <mergeCell ref="B13:E13"/>
    <mergeCell ref="B14:E14"/>
    <mergeCell ref="B15:E15"/>
    <mergeCell ref="B27:D27"/>
    <mergeCell ref="B38:C38"/>
    <mergeCell ref="B39:E39"/>
    <mergeCell ref="B40:E40"/>
    <mergeCell ref="B49:C49"/>
    <mergeCell ref="B29:D29"/>
    <mergeCell ref="B31:C31"/>
    <mergeCell ref="B32:C32"/>
    <mergeCell ref="B34:C34"/>
    <mergeCell ref="B35:C35"/>
    <mergeCell ref="B37:C37"/>
  </mergeCells>
  <hyperlinks>
    <hyperlink ref="B4" r:id="rId1" xr:uid="{9DC49092-927F-4E9B-A4BF-78ED5BFDD562}"/>
  </hyperlinks>
  <printOptions horizontalCentered="1"/>
  <pageMargins left="0.75" right="0.75" top="1.5" bottom="0.5" header="0.25" footer="0.5"/>
  <pageSetup scale="86" orientation="portrait" r:id="rId2"/>
  <headerFooter alignWithMargins="0">
    <oddHeader>&amp;C&amp;"Arial,Bold"&amp;14&amp;K05-043Mississippi State University
&amp;11Office of Institutional Research and Effectiveness
Common Data Set 2022-23</oddHeader>
    <oddFooter>&amp;L&amp;9&amp;K05-049Updated: &amp;D&amp;C&amp;9&amp;K05-049&amp;A&amp;R&amp;9&amp;K05-049Page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dimension ref="A1:IV208"/>
  <sheetViews>
    <sheetView showRuler="0" zoomScaleNormal="100" workbookViewId="0">
      <selection sqref="A1:F1"/>
    </sheetView>
  </sheetViews>
  <sheetFormatPr defaultColWidth="8.5703125" defaultRowHeight="12.75" zeroHeight="1" x14ac:dyDescent="0.2"/>
  <cols>
    <col min="1" max="1" width="4.7109375" style="3" customWidth="1"/>
    <col min="2" max="2" width="2.5703125" style="2" customWidth="1"/>
    <col min="3" max="3" width="43.5703125" style="2" customWidth="1"/>
    <col min="4" max="5" width="19.42578125" style="2" customWidth="1"/>
    <col min="6" max="6" width="20" style="2" customWidth="1"/>
    <col min="7" max="16384" width="8.5703125" style="2"/>
  </cols>
  <sheetData>
    <row r="1" spans="1:6" ht="18" x14ac:dyDescent="0.2">
      <c r="A1" s="1" t="s">
        <v>285</v>
      </c>
      <c r="B1" s="1"/>
      <c r="C1" s="1"/>
      <c r="D1" s="1"/>
      <c r="E1" s="1"/>
      <c r="F1" s="1"/>
    </row>
    <row r="2" spans="1:6" x14ac:dyDescent="0.2"/>
    <row r="3" spans="1:6" ht="15.75" x14ac:dyDescent="0.2">
      <c r="B3" s="428" t="s">
        <v>286</v>
      </c>
      <c r="C3" s="429"/>
      <c r="D3" s="429"/>
    </row>
    <row r="4" spans="1:6" ht="26.45" customHeight="1" x14ac:dyDescent="0.2">
      <c r="A4" s="5" t="s">
        <v>262</v>
      </c>
      <c r="B4" s="261" t="s">
        <v>848</v>
      </c>
      <c r="C4" s="261"/>
      <c r="D4" s="261"/>
      <c r="E4" s="261"/>
      <c r="F4" s="261"/>
    </row>
    <row r="5" spans="1:6" ht="26.1" customHeight="1" x14ac:dyDescent="0.2">
      <c r="A5" s="5"/>
      <c r="B5" s="209" t="s">
        <v>957</v>
      </c>
      <c r="C5" s="209"/>
      <c r="D5" s="209"/>
      <c r="E5" s="209"/>
      <c r="F5" s="209"/>
    </row>
    <row r="6" spans="1:6" x14ac:dyDescent="0.2">
      <c r="A6" s="5"/>
      <c r="B6" s="209" t="s">
        <v>845</v>
      </c>
      <c r="C6" s="209"/>
      <c r="D6" s="209"/>
      <c r="E6" s="209"/>
      <c r="F6" s="209"/>
    </row>
    <row r="7" spans="1:6" x14ac:dyDescent="0.2">
      <c r="A7" s="5"/>
      <c r="B7" s="209" t="s">
        <v>846</v>
      </c>
      <c r="C7" s="209"/>
      <c r="D7" s="209"/>
      <c r="E7" s="209"/>
      <c r="F7" s="209"/>
    </row>
    <row r="8" spans="1:6" x14ac:dyDescent="0.2">
      <c r="A8" s="5"/>
      <c r="B8" s="547" t="s">
        <v>847</v>
      </c>
      <c r="C8" s="547"/>
      <c r="D8" s="547"/>
      <c r="E8" s="547"/>
      <c r="F8" s="547"/>
    </row>
    <row r="9" spans="1:6" x14ac:dyDescent="0.2">
      <c r="A9" s="5"/>
      <c r="B9" s="294"/>
      <c r="C9" s="7"/>
      <c r="D9" s="7"/>
      <c r="E9" s="7"/>
      <c r="F9" s="7"/>
    </row>
    <row r="10" spans="1:6" ht="25.5" x14ac:dyDescent="0.2">
      <c r="B10" s="303"/>
      <c r="C10" s="394"/>
      <c r="D10" s="394"/>
      <c r="E10" s="246" t="s">
        <v>955</v>
      </c>
      <c r="F10" s="246" t="s">
        <v>954</v>
      </c>
    </row>
    <row r="11" spans="1:6" ht="27" customHeight="1" x14ac:dyDescent="0.2">
      <c r="A11" s="5"/>
      <c r="B11" s="303" t="s">
        <v>850</v>
      </c>
      <c r="C11" s="548"/>
      <c r="D11" s="548"/>
      <c r="E11" s="549"/>
      <c r="F11" s="549" t="s">
        <v>684</v>
      </c>
    </row>
    <row r="12" spans="1:6" ht="12.95" customHeight="1" x14ac:dyDescent="0.2">
      <c r="A12" s="5"/>
      <c r="B12" s="28" t="s">
        <v>849</v>
      </c>
      <c r="C12" s="28"/>
      <c r="D12" s="28"/>
      <c r="E12" s="28"/>
      <c r="F12" s="28"/>
    </row>
    <row r="13" spans="1:6" x14ac:dyDescent="0.2">
      <c r="A13" s="5"/>
      <c r="B13" s="347"/>
      <c r="C13" s="347"/>
      <c r="D13" s="347"/>
      <c r="E13" s="347"/>
      <c r="F13" s="347"/>
    </row>
    <row r="14" spans="1:6" x14ac:dyDescent="0.2">
      <c r="A14" s="18" t="s">
        <v>684</v>
      </c>
      <c r="B14" s="550" t="s">
        <v>132</v>
      </c>
      <c r="C14" s="550"/>
    </row>
    <row r="15" spans="1:6" x14ac:dyDescent="0.2">
      <c r="A15" s="207"/>
      <c r="B15" s="166" t="s">
        <v>133</v>
      </c>
      <c r="C15" s="166"/>
      <c r="D15" s="501"/>
    </row>
    <row r="16" spans="1:6" x14ac:dyDescent="0.2">
      <c r="A16" s="207"/>
      <c r="B16" s="166" t="s">
        <v>134</v>
      </c>
      <c r="C16" s="166"/>
      <c r="D16" s="501"/>
    </row>
    <row r="17" spans="1:6" x14ac:dyDescent="0.2"/>
    <row r="18" spans="1:6" ht="35.25" x14ac:dyDescent="0.2">
      <c r="A18" s="5"/>
      <c r="B18" s="551"/>
      <c r="C18" s="552"/>
      <c r="D18" s="553"/>
      <c r="E18" s="246" t="s">
        <v>735</v>
      </c>
      <c r="F18" s="246" t="s">
        <v>736</v>
      </c>
    </row>
    <row r="19" spans="1:6" ht="15" x14ac:dyDescent="0.25">
      <c r="A19" s="5"/>
      <c r="B19" s="554" t="s">
        <v>287</v>
      </c>
      <c r="C19" s="555"/>
      <c r="D19" s="555"/>
      <c r="E19" s="555"/>
      <c r="F19" s="556"/>
    </row>
    <row r="20" spans="1:6" ht="18.75" customHeight="1" x14ac:dyDescent="0.2">
      <c r="A20" s="5"/>
      <c r="B20" s="557" t="s">
        <v>288</v>
      </c>
      <c r="C20" s="558"/>
      <c r="D20" s="559"/>
      <c r="E20" s="560">
        <v>43772200</v>
      </c>
      <c r="F20" s="560"/>
    </row>
    <row r="21" spans="1:6" ht="26.25" customHeight="1" x14ac:dyDescent="0.2">
      <c r="A21" s="5"/>
      <c r="B21" s="561" t="s">
        <v>851</v>
      </c>
      <c r="C21" s="562"/>
      <c r="D21" s="563"/>
      <c r="E21" s="560">
        <v>10269287</v>
      </c>
      <c r="F21" s="560">
        <v>2130266</v>
      </c>
    </row>
    <row r="22" spans="1:6" ht="40.5" customHeight="1" x14ac:dyDescent="0.2">
      <c r="A22" s="5"/>
      <c r="B22" s="561" t="s">
        <v>852</v>
      </c>
      <c r="C22" s="562"/>
      <c r="D22" s="563"/>
      <c r="E22" s="560">
        <v>39768835</v>
      </c>
      <c r="F22" s="560">
        <v>27607668</v>
      </c>
    </row>
    <row r="23" spans="1:6" ht="27.75" customHeight="1" x14ac:dyDescent="0.2">
      <c r="A23" s="5"/>
      <c r="B23" s="561" t="s">
        <v>853</v>
      </c>
      <c r="C23" s="562"/>
      <c r="D23" s="563"/>
      <c r="E23" s="560">
        <v>9139580</v>
      </c>
      <c r="F23" s="560">
        <v>3594131</v>
      </c>
    </row>
    <row r="24" spans="1:6" x14ac:dyDescent="0.2">
      <c r="A24" s="5"/>
      <c r="B24" s="564" t="s">
        <v>353</v>
      </c>
      <c r="C24" s="565"/>
      <c r="D24" s="566"/>
      <c r="E24" s="567">
        <f>SUM(E20:E23)</f>
        <v>102949902</v>
      </c>
      <c r="F24" s="567">
        <f>SUM(F20:F23)</f>
        <v>33332065</v>
      </c>
    </row>
    <row r="25" spans="1:6" ht="15" x14ac:dyDescent="0.25">
      <c r="A25" s="5"/>
      <c r="B25" s="554" t="s">
        <v>354</v>
      </c>
      <c r="C25" s="555"/>
      <c r="D25" s="555"/>
      <c r="E25" s="555"/>
      <c r="F25" s="556"/>
    </row>
    <row r="26" spans="1:6" ht="12.95" customHeight="1" x14ac:dyDescent="0.2">
      <c r="A26" s="5"/>
      <c r="B26" s="561" t="s">
        <v>355</v>
      </c>
      <c r="C26" s="562"/>
      <c r="D26" s="563"/>
      <c r="E26" s="568">
        <v>84163022</v>
      </c>
      <c r="F26" s="568">
        <v>17931696</v>
      </c>
    </row>
    <row r="27" spans="1:6" ht="12.95" customHeight="1" x14ac:dyDescent="0.2">
      <c r="A27" s="5"/>
      <c r="B27" s="561" t="s">
        <v>578</v>
      </c>
      <c r="C27" s="562"/>
      <c r="D27" s="563"/>
      <c r="E27" s="568">
        <v>1530926</v>
      </c>
      <c r="F27" s="569"/>
    </row>
    <row r="28" spans="1:6" ht="25.5" customHeight="1" x14ac:dyDescent="0.2">
      <c r="A28" s="5"/>
      <c r="B28" s="561" t="s">
        <v>322</v>
      </c>
      <c r="C28" s="562"/>
      <c r="D28" s="563"/>
      <c r="E28" s="570"/>
      <c r="F28" s="571"/>
    </row>
    <row r="29" spans="1:6" x14ac:dyDescent="0.2">
      <c r="A29" s="5"/>
      <c r="B29" s="564" t="s">
        <v>356</v>
      </c>
      <c r="C29" s="565"/>
      <c r="D29" s="566"/>
      <c r="E29" s="567">
        <f>SUM(E26:E28)</f>
        <v>85693948</v>
      </c>
      <c r="F29" s="567">
        <f>SUM(F26,F28)</f>
        <v>17931696</v>
      </c>
    </row>
    <row r="30" spans="1:6" ht="15" x14ac:dyDescent="0.25">
      <c r="A30" s="5"/>
      <c r="B30" s="554" t="s">
        <v>260</v>
      </c>
      <c r="C30" s="555"/>
      <c r="D30" s="555"/>
      <c r="E30" s="555"/>
      <c r="F30" s="556"/>
    </row>
    <row r="31" spans="1:6" ht="12.95" customHeight="1" x14ac:dyDescent="0.2">
      <c r="A31" s="5"/>
      <c r="B31" s="572" t="s">
        <v>357</v>
      </c>
      <c r="C31" s="573"/>
      <c r="D31" s="574"/>
      <c r="E31" s="568">
        <v>13260354</v>
      </c>
      <c r="F31" s="568">
        <v>7170950</v>
      </c>
    </row>
    <row r="32" spans="1:6" ht="38.25" customHeight="1" x14ac:dyDescent="0.2">
      <c r="A32" s="5"/>
      <c r="B32" s="575" t="s">
        <v>854</v>
      </c>
      <c r="C32" s="30"/>
      <c r="D32" s="31"/>
      <c r="E32" s="568"/>
      <c r="F32" s="568">
        <v>81944797.769999996</v>
      </c>
    </row>
    <row r="33" spans="1:6" ht="12.95" customHeight="1" x14ac:dyDescent="0.2">
      <c r="A33" s="5"/>
      <c r="B33" s="572" t="s">
        <v>358</v>
      </c>
      <c r="C33" s="573"/>
      <c r="D33" s="574"/>
      <c r="E33" s="568"/>
      <c r="F33" s="568">
        <v>10275804.449999999</v>
      </c>
    </row>
    <row r="34" spans="1:6" x14ac:dyDescent="0.2"/>
    <row r="35" spans="1:6" ht="32.450000000000003" customHeight="1" x14ac:dyDescent="0.2">
      <c r="A35" s="5" t="s">
        <v>263</v>
      </c>
      <c r="B35" s="164" t="s">
        <v>944</v>
      </c>
      <c r="C35" s="216"/>
      <c r="D35" s="216"/>
      <c r="E35" s="216"/>
      <c r="F35" s="216"/>
    </row>
    <row r="36" spans="1:6" ht="24.6" customHeight="1" x14ac:dyDescent="0.2">
      <c r="A36" s="5"/>
      <c r="B36" s="164" t="s">
        <v>855</v>
      </c>
      <c r="C36" s="164"/>
      <c r="D36" s="164"/>
      <c r="E36" s="164"/>
      <c r="F36" s="164"/>
    </row>
    <row r="37" spans="1:6" x14ac:dyDescent="0.2">
      <c r="A37" s="5"/>
      <c r="B37" s="576" t="s">
        <v>856</v>
      </c>
      <c r="C37" s="164"/>
      <c r="D37" s="164"/>
      <c r="E37" s="164"/>
      <c r="F37" s="164"/>
    </row>
    <row r="38" spans="1:6" ht="26.1" customHeight="1" x14ac:dyDescent="0.2">
      <c r="B38" s="28" t="s">
        <v>857</v>
      </c>
      <c r="C38" s="28"/>
      <c r="D38" s="28"/>
      <c r="E38" s="28"/>
      <c r="F38" s="28"/>
    </row>
    <row r="39" spans="1:6" ht="18.95" customHeight="1" x14ac:dyDescent="0.2">
      <c r="B39" s="547" t="s">
        <v>858</v>
      </c>
      <c r="C39" s="547"/>
      <c r="D39" s="547"/>
      <c r="E39" s="547"/>
      <c r="F39" s="547"/>
    </row>
    <row r="40" spans="1:6" x14ac:dyDescent="0.2">
      <c r="B40" s="577"/>
      <c r="C40" s="577"/>
      <c r="D40" s="577"/>
      <c r="E40" s="577"/>
      <c r="F40" s="577"/>
    </row>
    <row r="41" spans="1:6" ht="36" x14ac:dyDescent="0.2">
      <c r="A41" s="5"/>
      <c r="B41" s="578"/>
      <c r="C41" s="579"/>
      <c r="D41" s="217" t="s">
        <v>359</v>
      </c>
      <c r="E41" s="217" t="s">
        <v>360</v>
      </c>
      <c r="F41" s="217" t="s">
        <v>361</v>
      </c>
    </row>
    <row r="42" spans="1:6" ht="24" x14ac:dyDescent="0.2">
      <c r="A42" s="5"/>
      <c r="B42" s="580" t="s">
        <v>859</v>
      </c>
      <c r="C42" s="581" t="s">
        <v>940</v>
      </c>
      <c r="D42" s="582">
        <v>3388</v>
      </c>
      <c r="E42" s="582">
        <v>16794</v>
      </c>
      <c r="F42" s="582">
        <v>1790</v>
      </c>
    </row>
    <row r="43" spans="1:6" ht="24.75" customHeight="1" x14ac:dyDescent="0.2">
      <c r="A43" s="5"/>
      <c r="B43" s="580" t="s">
        <v>860</v>
      </c>
      <c r="C43" s="581" t="s">
        <v>323</v>
      </c>
      <c r="D43" s="582">
        <v>3038</v>
      </c>
      <c r="E43" s="582">
        <v>13231</v>
      </c>
      <c r="F43" s="582">
        <v>990</v>
      </c>
    </row>
    <row r="44" spans="1:6" ht="24" x14ac:dyDescent="0.2">
      <c r="A44" s="5"/>
      <c r="B44" s="580" t="s">
        <v>861</v>
      </c>
      <c r="C44" s="581" t="s">
        <v>362</v>
      </c>
      <c r="D44" s="582">
        <v>2441</v>
      </c>
      <c r="E44" s="582">
        <v>11234</v>
      </c>
      <c r="F44" s="582">
        <v>863</v>
      </c>
    </row>
    <row r="45" spans="1:6" ht="24" x14ac:dyDescent="0.2">
      <c r="A45" s="5"/>
      <c r="B45" s="580" t="s">
        <v>862</v>
      </c>
      <c r="C45" s="581" t="s">
        <v>324</v>
      </c>
      <c r="D45" s="582">
        <v>2429</v>
      </c>
      <c r="E45" s="582">
        <v>11129</v>
      </c>
      <c r="F45" s="582">
        <v>812</v>
      </c>
    </row>
    <row r="46" spans="1:6" ht="24" x14ac:dyDescent="0.2">
      <c r="A46" s="5"/>
      <c r="B46" s="580" t="s">
        <v>863</v>
      </c>
      <c r="C46" s="581" t="s">
        <v>184</v>
      </c>
      <c r="D46" s="582">
        <v>2390</v>
      </c>
      <c r="E46" s="582">
        <v>10702</v>
      </c>
      <c r="F46" s="582">
        <v>661</v>
      </c>
    </row>
    <row r="47" spans="1:6" ht="24" x14ac:dyDescent="0.2">
      <c r="A47" s="5"/>
      <c r="B47" s="580" t="s">
        <v>864</v>
      </c>
      <c r="C47" s="581" t="s">
        <v>185</v>
      </c>
      <c r="D47" s="582">
        <v>1266</v>
      </c>
      <c r="E47" s="582">
        <v>6322</v>
      </c>
      <c r="F47" s="582">
        <v>473</v>
      </c>
    </row>
    <row r="48" spans="1:6" ht="24" x14ac:dyDescent="0.2">
      <c r="A48" s="5"/>
      <c r="B48" s="580" t="s">
        <v>865</v>
      </c>
      <c r="C48" s="581" t="s">
        <v>186</v>
      </c>
      <c r="D48" s="582">
        <v>454</v>
      </c>
      <c r="E48" s="582">
        <v>1244</v>
      </c>
      <c r="F48" s="582">
        <v>24</v>
      </c>
    </row>
    <row r="49" spans="1:6" ht="36" x14ac:dyDescent="0.2">
      <c r="A49" s="5"/>
      <c r="B49" s="580" t="s">
        <v>866</v>
      </c>
      <c r="C49" s="581" t="s">
        <v>366</v>
      </c>
      <c r="D49" s="582">
        <v>486</v>
      </c>
      <c r="E49" s="582">
        <v>2046</v>
      </c>
      <c r="F49" s="582">
        <v>62</v>
      </c>
    </row>
    <row r="50" spans="1:6" ht="72" x14ac:dyDescent="0.2">
      <c r="A50" s="5"/>
      <c r="B50" s="580" t="s">
        <v>867</v>
      </c>
      <c r="C50" s="581" t="s">
        <v>868</v>
      </c>
      <c r="D50" s="583">
        <v>0.57999999999999996</v>
      </c>
      <c r="E50" s="583">
        <v>0.55503475669165903</v>
      </c>
      <c r="F50" s="583">
        <v>0.36773944439063599</v>
      </c>
    </row>
    <row r="51" spans="1:6" ht="48" x14ac:dyDescent="0.2">
      <c r="A51" s="5"/>
      <c r="B51" s="580" t="s">
        <v>869</v>
      </c>
      <c r="C51" s="581" t="s">
        <v>870</v>
      </c>
      <c r="D51" s="584">
        <v>16895.066813503501</v>
      </c>
      <c r="E51" s="584">
        <v>15500.630745799301</v>
      </c>
      <c r="F51" s="584">
        <v>8428.0196551724093</v>
      </c>
    </row>
    <row r="52" spans="1:6" ht="24" x14ac:dyDescent="0.2">
      <c r="A52" s="5"/>
      <c r="B52" s="585" t="s">
        <v>871</v>
      </c>
      <c r="C52" s="586" t="s">
        <v>187</v>
      </c>
      <c r="D52" s="584">
        <v>9651.87489539749</v>
      </c>
      <c r="E52" s="584">
        <v>8650.9782283685308</v>
      </c>
      <c r="F52" s="584">
        <v>3948.12254160363</v>
      </c>
    </row>
    <row r="53" spans="1:6" ht="36.75" customHeight="1" x14ac:dyDescent="0.2">
      <c r="A53" s="5"/>
      <c r="B53" s="580" t="s">
        <v>872</v>
      </c>
      <c r="C53" s="581" t="s">
        <v>608</v>
      </c>
      <c r="D53" s="584">
        <v>2828.15560821485</v>
      </c>
      <c r="E53" s="584">
        <v>3726.7298323315399</v>
      </c>
      <c r="F53" s="584">
        <v>3338.7505285412299</v>
      </c>
    </row>
    <row r="54" spans="1:6" ht="36" x14ac:dyDescent="0.2">
      <c r="A54" s="5"/>
      <c r="B54" s="580" t="s">
        <v>873</v>
      </c>
      <c r="C54" s="581" t="s">
        <v>188</v>
      </c>
      <c r="D54" s="584">
        <v>3237.8115530302998</v>
      </c>
      <c r="E54" s="584">
        <v>3487.2059474849698</v>
      </c>
      <c r="F54" s="584">
        <v>3303.5369978858398</v>
      </c>
    </row>
    <row r="55" spans="1:6" x14ac:dyDescent="0.2"/>
    <row r="56" spans="1:6" ht="41.1" customHeight="1" x14ac:dyDescent="0.2">
      <c r="A56" s="5" t="s">
        <v>365</v>
      </c>
      <c r="B56" s="164" t="s">
        <v>941</v>
      </c>
      <c r="C56" s="216"/>
      <c r="D56" s="216"/>
      <c r="E56" s="216"/>
      <c r="F56" s="216"/>
    </row>
    <row r="57" spans="1:6" x14ac:dyDescent="0.2">
      <c r="A57" s="5"/>
      <c r="B57" s="587" t="s">
        <v>874</v>
      </c>
      <c r="C57" s="588"/>
      <c r="D57" s="588"/>
      <c r="E57" s="588"/>
      <c r="F57" s="588"/>
    </row>
    <row r="58" spans="1:6" ht="24.95" customHeight="1" x14ac:dyDescent="0.2">
      <c r="A58" s="5"/>
      <c r="B58" s="587" t="s">
        <v>875</v>
      </c>
      <c r="C58" s="588"/>
      <c r="D58" s="588"/>
      <c r="E58" s="588"/>
      <c r="F58" s="588"/>
    </row>
    <row r="59" spans="1:6" ht="20.100000000000001" customHeight="1" x14ac:dyDescent="0.2">
      <c r="A59" s="5"/>
      <c r="B59" s="589" t="s">
        <v>847</v>
      </c>
      <c r="C59" s="588"/>
      <c r="D59" s="588"/>
      <c r="E59" s="588"/>
      <c r="F59" s="588"/>
    </row>
    <row r="60" spans="1:6" ht="36" x14ac:dyDescent="0.2">
      <c r="A60" s="5"/>
      <c r="B60" s="590"/>
      <c r="C60" s="591"/>
      <c r="D60" s="592" t="s">
        <v>359</v>
      </c>
      <c r="E60" s="592" t="s">
        <v>363</v>
      </c>
      <c r="F60" s="592" t="s">
        <v>364</v>
      </c>
    </row>
    <row r="61" spans="1:6" ht="49.5" customHeight="1" x14ac:dyDescent="0.2">
      <c r="A61" s="5"/>
      <c r="B61" s="593" t="s">
        <v>876</v>
      </c>
      <c r="C61" s="594" t="s">
        <v>189</v>
      </c>
      <c r="D61" s="582">
        <v>585</v>
      </c>
      <c r="E61" s="582">
        <v>2517</v>
      </c>
      <c r="F61" s="582">
        <v>77</v>
      </c>
    </row>
    <row r="62" spans="1:6" ht="36" x14ac:dyDescent="0.2">
      <c r="A62" s="5"/>
      <c r="B62" s="593" t="s">
        <v>877</v>
      </c>
      <c r="C62" s="594" t="s">
        <v>300</v>
      </c>
      <c r="D62" s="595">
        <v>6266.2683760683803</v>
      </c>
      <c r="E62" s="595">
        <v>5736.9332538736599</v>
      </c>
      <c r="F62" s="595">
        <v>3217.5194805194801</v>
      </c>
    </row>
    <row r="63" spans="1:6" ht="36" x14ac:dyDescent="0.2">
      <c r="A63" s="5"/>
      <c r="B63" s="593" t="s">
        <v>878</v>
      </c>
      <c r="C63" s="594" t="s">
        <v>301</v>
      </c>
      <c r="D63" s="582">
        <v>79</v>
      </c>
      <c r="E63" s="582">
        <v>403</v>
      </c>
      <c r="F63" s="582">
        <v>4</v>
      </c>
    </row>
    <row r="64" spans="1:6" ht="36" x14ac:dyDescent="0.2">
      <c r="A64" s="5"/>
      <c r="B64" s="593" t="s">
        <v>879</v>
      </c>
      <c r="C64" s="594" t="s">
        <v>302</v>
      </c>
      <c r="D64" s="595">
        <v>24931</v>
      </c>
      <c r="E64" s="595">
        <v>21600.067220843601</v>
      </c>
      <c r="F64" s="595">
        <v>10748</v>
      </c>
    </row>
    <row r="65" spans="1:7" x14ac:dyDescent="0.2">
      <c r="A65" s="5"/>
      <c r="B65" s="596"/>
      <c r="C65" s="597"/>
      <c r="D65" s="598"/>
      <c r="E65" s="598"/>
      <c r="F65" s="598"/>
    </row>
    <row r="66" spans="1:7" x14ac:dyDescent="0.2">
      <c r="A66" s="5"/>
      <c r="B66" s="596"/>
      <c r="C66" s="599" t="s">
        <v>880</v>
      </c>
      <c r="D66" s="600"/>
      <c r="E66" s="600"/>
      <c r="F66" s="600"/>
    </row>
    <row r="67" spans="1:7" x14ac:dyDescent="0.2">
      <c r="A67" s="5"/>
      <c r="B67" s="596"/>
      <c r="C67" s="601" t="s">
        <v>881</v>
      </c>
      <c r="D67" s="602"/>
      <c r="E67" s="602"/>
      <c r="F67" s="602"/>
    </row>
    <row r="68" spans="1:7" x14ac:dyDescent="0.2">
      <c r="A68" s="5"/>
      <c r="B68" s="596"/>
      <c r="C68" s="603" t="s">
        <v>882</v>
      </c>
      <c r="D68" s="603"/>
      <c r="E68" s="603"/>
      <c r="F68" s="603"/>
    </row>
    <row r="69" spans="1:7" x14ac:dyDescent="0.2">
      <c r="A69" s="5"/>
      <c r="B69" s="596"/>
      <c r="C69" s="604" t="s">
        <v>883</v>
      </c>
      <c r="D69" s="603"/>
      <c r="E69" s="603"/>
      <c r="F69" s="603"/>
    </row>
    <row r="70" spans="1:7" x14ac:dyDescent="0.2">
      <c r="A70" s="5"/>
      <c r="B70" s="596"/>
      <c r="C70" s="604" t="s">
        <v>884</v>
      </c>
      <c r="D70" s="603"/>
      <c r="E70" s="603"/>
      <c r="F70" s="603"/>
    </row>
    <row r="71" spans="1:7" x14ac:dyDescent="0.2">
      <c r="A71" s="5"/>
      <c r="B71" s="596"/>
      <c r="C71" s="604" t="s">
        <v>588</v>
      </c>
      <c r="D71" s="604"/>
      <c r="E71" s="604"/>
      <c r="F71" s="604"/>
    </row>
    <row r="72" spans="1:7" x14ac:dyDescent="0.2">
      <c r="A72" s="5"/>
      <c r="B72" s="596"/>
      <c r="C72" s="604" t="s">
        <v>885</v>
      </c>
      <c r="D72" s="603"/>
      <c r="E72" s="603"/>
      <c r="F72" s="603"/>
    </row>
    <row r="73" spans="1:7" x14ac:dyDescent="0.2">
      <c r="A73" s="5"/>
      <c r="B73" s="596"/>
      <c r="C73" s="604" t="s">
        <v>886</v>
      </c>
      <c r="D73" s="604"/>
      <c r="E73" s="604"/>
      <c r="F73" s="604"/>
    </row>
    <row r="74" spans="1:7" x14ac:dyDescent="0.2">
      <c r="A74" s="5"/>
      <c r="B74" s="596"/>
      <c r="C74" s="604" t="s">
        <v>887</v>
      </c>
      <c r="D74" s="604"/>
      <c r="E74" s="604"/>
      <c r="F74" s="604"/>
    </row>
    <row r="75" spans="1:7" x14ac:dyDescent="0.2">
      <c r="A75" s="5"/>
      <c r="B75" s="596"/>
      <c r="C75" s="604" t="s">
        <v>888</v>
      </c>
      <c r="D75" s="604"/>
      <c r="E75" s="604"/>
      <c r="F75" s="604"/>
    </row>
    <row r="76" spans="1:7" x14ac:dyDescent="0.2">
      <c r="A76" s="5"/>
      <c r="B76" s="596"/>
      <c r="C76" s="605" t="s">
        <v>889</v>
      </c>
      <c r="D76" s="605"/>
      <c r="E76" s="605"/>
      <c r="F76" s="605"/>
    </row>
    <row r="77" spans="1:7" x14ac:dyDescent="0.2">
      <c r="A77" s="2"/>
    </row>
    <row r="78" spans="1:7" ht="42.6" customHeight="1" x14ac:dyDescent="0.2">
      <c r="A78" s="5" t="s">
        <v>264</v>
      </c>
      <c r="B78" s="606" t="s">
        <v>958</v>
      </c>
      <c r="C78" s="607"/>
      <c r="D78" s="607"/>
      <c r="E78" s="607"/>
      <c r="F78" s="608">
        <v>2303</v>
      </c>
    </row>
    <row r="79" spans="1:7" ht="39" customHeight="1" x14ac:dyDescent="0.2">
      <c r="A79" s="53" t="s">
        <v>265</v>
      </c>
      <c r="B79" s="609" t="s">
        <v>890</v>
      </c>
      <c r="C79" s="609"/>
      <c r="D79" s="609"/>
      <c r="E79" s="609"/>
      <c r="F79" s="609"/>
    </row>
    <row r="80" spans="1:7" ht="34.5" customHeight="1" x14ac:dyDescent="0.2">
      <c r="A80" s="53"/>
      <c r="B80" s="610" t="s">
        <v>891</v>
      </c>
      <c r="C80" s="610"/>
      <c r="D80" s="610"/>
      <c r="E80" s="610"/>
      <c r="F80" s="610"/>
      <c r="G80" s="610"/>
    </row>
    <row r="81" spans="1:256" ht="41.1" customHeight="1" x14ac:dyDescent="0.2">
      <c r="A81" s="2"/>
      <c r="B81" s="610" t="s">
        <v>892</v>
      </c>
      <c r="C81" s="611"/>
      <c r="D81" s="611"/>
      <c r="E81" s="611"/>
      <c r="F81" s="611"/>
      <c r="G81" s="611"/>
    </row>
    <row r="82" spans="1:256" ht="66" customHeight="1" x14ac:dyDescent="0.2">
      <c r="A82" s="53"/>
      <c r="B82" s="139"/>
      <c r="C82" s="612" t="s">
        <v>655</v>
      </c>
      <c r="D82" s="613" t="s">
        <v>656</v>
      </c>
      <c r="E82" s="613" t="s">
        <v>657</v>
      </c>
      <c r="F82" s="613" t="s">
        <v>658</v>
      </c>
    </row>
    <row r="83" spans="1:256" ht="66" customHeight="1" x14ac:dyDescent="0.2">
      <c r="A83" s="53"/>
      <c r="C83" s="612"/>
      <c r="D83" s="613"/>
      <c r="E83" s="613"/>
      <c r="F83" s="613"/>
    </row>
    <row r="84" spans="1:256" ht="66" customHeight="1" x14ac:dyDescent="0.2">
      <c r="A84" s="53"/>
      <c r="B84" s="614" t="s">
        <v>859</v>
      </c>
      <c r="C84" s="615" t="s">
        <v>893</v>
      </c>
      <c r="D84" s="608">
        <v>1205</v>
      </c>
      <c r="E84" s="616">
        <v>0.5232</v>
      </c>
      <c r="F84" s="617">
        <v>25796.586721991702</v>
      </c>
    </row>
    <row r="85" spans="1:256" ht="66" customHeight="1" x14ac:dyDescent="0.2">
      <c r="A85" s="53"/>
      <c r="B85" s="614" t="s">
        <v>860</v>
      </c>
      <c r="C85" s="618" t="s">
        <v>894</v>
      </c>
      <c r="D85" s="608">
        <v>1160</v>
      </c>
      <c r="E85" s="616">
        <v>0.50370000000000004</v>
      </c>
      <c r="F85" s="619">
        <v>19974.062931034499</v>
      </c>
    </row>
    <row r="86" spans="1:256" ht="66" customHeight="1" x14ac:dyDescent="0.2">
      <c r="A86" s="53"/>
      <c r="B86" s="614" t="s">
        <v>861</v>
      </c>
      <c r="C86" s="620" t="s">
        <v>895</v>
      </c>
      <c r="D86" s="608">
        <v>51</v>
      </c>
      <c r="E86" s="616">
        <v>2.2100000000000002E-2</v>
      </c>
      <c r="F86" s="619">
        <v>23588.470588235301</v>
      </c>
    </row>
    <row r="87" spans="1:256" ht="66" customHeight="1" x14ac:dyDescent="0.2">
      <c r="A87" s="53"/>
      <c r="B87" s="614" t="s">
        <v>862</v>
      </c>
      <c r="C87" s="620" t="s">
        <v>896</v>
      </c>
      <c r="D87" s="608"/>
      <c r="E87" s="616"/>
      <c r="F87" s="619"/>
    </row>
    <row r="88" spans="1:256" ht="66" customHeight="1" x14ac:dyDescent="0.2">
      <c r="A88" s="53"/>
      <c r="B88" s="614" t="s">
        <v>863</v>
      </c>
      <c r="C88" s="620" t="s">
        <v>897</v>
      </c>
      <c r="D88" s="608">
        <v>200</v>
      </c>
      <c r="E88" s="616">
        <v>8.6800000000000002E-2</v>
      </c>
      <c r="F88" s="619">
        <v>33559.81</v>
      </c>
      <c r="G88" s="621"/>
      <c r="H88" s="621"/>
      <c r="I88" s="621"/>
      <c r="J88" s="621"/>
      <c r="K88" s="621"/>
      <c r="L88" s="621"/>
      <c r="M88" s="621"/>
      <c r="N88" s="621"/>
      <c r="O88" s="621"/>
      <c r="P88" s="621"/>
      <c r="Q88" s="621"/>
      <c r="R88" s="621"/>
      <c r="S88" s="621"/>
      <c r="T88" s="621"/>
      <c r="U88" s="621"/>
      <c r="V88" s="621"/>
      <c r="W88" s="621"/>
      <c r="X88" s="621"/>
      <c r="Y88" s="621"/>
      <c r="Z88" s="621"/>
      <c r="AA88" s="621"/>
      <c r="AB88" s="621"/>
      <c r="AC88" s="621"/>
      <c r="AD88" s="621"/>
      <c r="AE88" s="621"/>
      <c r="AF88" s="621"/>
      <c r="AG88" s="621"/>
      <c r="AH88" s="621"/>
      <c r="AI88" s="621"/>
      <c r="AJ88" s="621"/>
      <c r="AK88" s="621"/>
      <c r="AL88" s="621"/>
      <c r="AM88" s="621"/>
      <c r="AN88" s="621"/>
      <c r="AO88" s="621"/>
      <c r="AP88" s="621"/>
      <c r="AQ88" s="621"/>
      <c r="AR88" s="621"/>
      <c r="AS88" s="621"/>
      <c r="AT88" s="621"/>
      <c r="AU88" s="621"/>
      <c r="AV88" s="621"/>
      <c r="AW88" s="622"/>
      <c r="AX88" s="623"/>
      <c r="AY88" s="623"/>
      <c r="AZ88" s="623"/>
      <c r="BA88" s="623"/>
      <c r="BB88" s="623"/>
      <c r="BC88" s="623"/>
      <c r="BD88" s="623"/>
      <c r="BE88" s="623"/>
      <c r="BF88" s="623"/>
      <c r="BG88" s="623"/>
      <c r="BH88" s="623"/>
      <c r="BI88" s="623"/>
      <c r="BJ88" s="623"/>
      <c r="BK88" s="623"/>
      <c r="BL88" s="623"/>
      <c r="BM88" s="623"/>
      <c r="BN88" s="623"/>
      <c r="BO88" s="623"/>
      <c r="BP88" s="623"/>
      <c r="BQ88" s="623"/>
      <c r="BR88" s="623"/>
      <c r="BS88" s="623"/>
      <c r="BT88" s="623"/>
      <c r="BU88" s="623"/>
      <c r="BV88" s="623"/>
      <c r="BW88" s="623"/>
      <c r="BX88" s="623"/>
      <c r="BY88" s="623"/>
      <c r="BZ88" s="623"/>
      <c r="CA88" s="623"/>
      <c r="CB88" s="623"/>
      <c r="CC88" s="623"/>
      <c r="CD88" s="623"/>
      <c r="CE88" s="623"/>
      <c r="CF88" s="623"/>
      <c r="CG88" s="623"/>
      <c r="CH88" s="623"/>
      <c r="CI88" s="623"/>
      <c r="CJ88" s="623"/>
      <c r="CK88" s="623"/>
      <c r="CL88" s="623"/>
      <c r="CM88" s="623"/>
      <c r="CN88" s="623"/>
      <c r="CO88" s="623"/>
      <c r="CP88" s="623"/>
      <c r="CQ88" s="623"/>
      <c r="CR88" s="623"/>
      <c r="CS88" s="623"/>
      <c r="CT88" s="623"/>
      <c r="CU88" s="623"/>
      <c r="CV88" s="623"/>
      <c r="CW88" s="623"/>
      <c r="CX88" s="623"/>
      <c r="CY88" s="623"/>
      <c r="CZ88" s="623"/>
      <c r="DA88" s="623"/>
      <c r="DB88" s="623"/>
      <c r="DC88" s="623"/>
      <c r="DD88" s="623"/>
      <c r="DE88" s="623"/>
      <c r="DF88" s="623"/>
      <c r="DG88" s="623"/>
      <c r="DH88" s="623"/>
      <c r="DI88" s="623"/>
      <c r="DJ88" s="623"/>
      <c r="DK88" s="623"/>
      <c r="DL88" s="623"/>
      <c r="DM88" s="623"/>
      <c r="DN88" s="623"/>
      <c r="DO88" s="623"/>
      <c r="DP88" s="623"/>
      <c r="DQ88" s="623"/>
      <c r="DR88" s="623"/>
      <c r="DS88" s="623"/>
      <c r="DT88" s="623"/>
      <c r="DU88" s="623"/>
      <c r="DV88" s="623"/>
      <c r="DW88" s="623"/>
      <c r="DX88" s="623"/>
      <c r="DY88" s="623"/>
      <c r="DZ88" s="623"/>
      <c r="EA88" s="623"/>
      <c r="EB88" s="623"/>
      <c r="EC88" s="623"/>
      <c r="ED88" s="623"/>
      <c r="EE88" s="623"/>
      <c r="EF88" s="623"/>
      <c r="EG88" s="623"/>
      <c r="EH88" s="623"/>
      <c r="EI88" s="623"/>
      <c r="EJ88" s="623"/>
      <c r="EK88" s="623"/>
      <c r="EL88" s="623"/>
      <c r="EM88" s="623"/>
      <c r="EN88" s="623"/>
      <c r="EO88" s="623"/>
      <c r="EP88" s="623"/>
      <c r="EQ88" s="623"/>
      <c r="ER88" s="623"/>
      <c r="ES88" s="623"/>
      <c r="ET88" s="623"/>
      <c r="EU88" s="623"/>
      <c r="EV88" s="623"/>
      <c r="EW88" s="623"/>
      <c r="EX88" s="623"/>
      <c r="EY88" s="623"/>
      <c r="EZ88" s="623"/>
      <c r="FA88" s="623"/>
      <c r="FB88" s="623"/>
      <c r="FC88" s="623"/>
      <c r="FD88" s="623"/>
      <c r="FE88" s="623"/>
      <c r="FF88" s="623"/>
      <c r="FG88" s="623"/>
      <c r="FH88" s="623"/>
      <c r="FI88" s="623"/>
      <c r="FJ88" s="623"/>
      <c r="FK88" s="623"/>
      <c r="FL88" s="623"/>
      <c r="FM88" s="623"/>
      <c r="FN88" s="623"/>
      <c r="FO88" s="623"/>
      <c r="FP88" s="623"/>
      <c r="FQ88" s="623"/>
      <c r="FR88" s="623"/>
      <c r="FS88" s="623"/>
      <c r="FT88" s="623"/>
      <c r="FU88" s="623"/>
      <c r="FV88" s="623"/>
      <c r="FW88" s="623"/>
      <c r="FX88" s="623"/>
      <c r="FY88" s="623"/>
      <c r="FZ88" s="623"/>
      <c r="GA88" s="623"/>
      <c r="GB88" s="623"/>
      <c r="GC88" s="623"/>
      <c r="GD88" s="623"/>
      <c r="GE88" s="623"/>
      <c r="GF88" s="623"/>
      <c r="GG88" s="623"/>
      <c r="GH88" s="623"/>
      <c r="GI88" s="623"/>
      <c r="GJ88" s="623"/>
      <c r="GK88" s="623"/>
      <c r="GL88" s="623"/>
      <c r="GM88" s="623"/>
      <c r="GN88" s="623"/>
      <c r="GO88" s="623"/>
      <c r="GP88" s="623"/>
      <c r="GQ88" s="623"/>
      <c r="GR88" s="623"/>
      <c r="GS88" s="623"/>
      <c r="GT88" s="623"/>
      <c r="GU88" s="623"/>
      <c r="GV88" s="623"/>
      <c r="GW88" s="623"/>
      <c r="GX88" s="623"/>
      <c r="GY88" s="623"/>
      <c r="GZ88" s="623"/>
      <c r="HA88" s="623"/>
      <c r="HB88" s="623"/>
      <c r="HC88" s="623"/>
      <c r="HD88" s="623"/>
      <c r="HE88" s="623"/>
      <c r="HF88" s="623"/>
      <c r="HG88" s="623"/>
      <c r="HH88" s="623"/>
      <c r="HI88" s="623"/>
      <c r="HJ88" s="623"/>
      <c r="HK88" s="623"/>
      <c r="HL88" s="623"/>
      <c r="HM88" s="623"/>
      <c r="HN88" s="623"/>
      <c r="HO88" s="623"/>
      <c r="HP88" s="623"/>
      <c r="HQ88" s="623"/>
      <c r="HR88" s="623"/>
      <c r="HS88" s="623"/>
      <c r="HT88" s="623"/>
      <c r="HU88" s="623"/>
      <c r="HV88" s="623"/>
      <c r="HW88" s="623"/>
      <c r="HX88" s="623"/>
      <c r="HY88" s="623"/>
      <c r="HZ88" s="623"/>
      <c r="IA88" s="623"/>
      <c r="IB88" s="623"/>
      <c r="IC88" s="623"/>
      <c r="ID88" s="623"/>
      <c r="IE88" s="623"/>
      <c r="IF88" s="623"/>
      <c r="IG88" s="623"/>
      <c r="IH88" s="623"/>
      <c r="II88" s="623"/>
      <c r="IJ88" s="623"/>
      <c r="IK88" s="623"/>
      <c r="IL88" s="623"/>
      <c r="IM88" s="623"/>
      <c r="IN88" s="623"/>
      <c r="IO88" s="623"/>
      <c r="IP88" s="623"/>
      <c r="IQ88" s="623"/>
      <c r="IR88" s="623"/>
      <c r="IS88" s="623"/>
      <c r="IT88" s="623"/>
      <c r="IU88" s="623"/>
      <c r="IV88" s="623"/>
    </row>
    <row r="89" spans="1:256" x14ac:dyDescent="0.2">
      <c r="A89" s="5"/>
    </row>
    <row r="90" spans="1:256" ht="18.95" customHeight="1" x14ac:dyDescent="0.2">
      <c r="B90" s="624" t="s">
        <v>898</v>
      </c>
      <c r="C90" s="625"/>
      <c r="D90" s="625"/>
      <c r="E90" s="625"/>
      <c r="F90" s="625"/>
    </row>
    <row r="91" spans="1:256" x14ac:dyDescent="0.2">
      <c r="B91" s="588" t="s">
        <v>899</v>
      </c>
      <c r="C91" s="587"/>
      <c r="D91" s="587"/>
      <c r="E91" s="587"/>
      <c r="F91" s="7"/>
    </row>
    <row r="92" spans="1:256" x14ac:dyDescent="0.2">
      <c r="B92" s="626"/>
      <c r="C92" s="627"/>
      <c r="D92" s="627"/>
      <c r="E92" s="627"/>
      <c r="F92" s="7"/>
    </row>
    <row r="93" spans="1:256" ht="26.25" customHeight="1" x14ac:dyDescent="0.2">
      <c r="A93" s="5" t="s">
        <v>266</v>
      </c>
      <c r="B93" s="216" t="s">
        <v>96</v>
      </c>
      <c r="C93" s="216"/>
      <c r="D93" s="216"/>
      <c r="E93" s="216"/>
      <c r="F93" s="216"/>
    </row>
    <row r="94" spans="1:256" x14ac:dyDescent="0.2">
      <c r="A94" s="628"/>
      <c r="B94" s="629" t="s">
        <v>303</v>
      </c>
      <c r="C94" s="629"/>
      <c r="D94" s="629"/>
      <c r="E94" s="630"/>
    </row>
    <row r="95" spans="1:256" x14ac:dyDescent="0.2">
      <c r="A95" s="549" t="s">
        <v>684</v>
      </c>
      <c r="B95" s="629" t="s">
        <v>304</v>
      </c>
      <c r="C95" s="629"/>
      <c r="D95" s="629"/>
      <c r="E95" s="488"/>
    </row>
    <row r="96" spans="1:256" x14ac:dyDescent="0.2">
      <c r="A96" s="628"/>
      <c r="B96" s="629" t="s">
        <v>305</v>
      </c>
      <c r="C96" s="629"/>
      <c r="D96" s="629"/>
      <c r="E96" s="501"/>
    </row>
    <row r="97" spans="1:6" x14ac:dyDescent="0.2"/>
    <row r="98" spans="1:6" ht="40.5" customHeight="1" x14ac:dyDescent="0.2">
      <c r="A98" s="5"/>
      <c r="B98" s="4" t="s">
        <v>306</v>
      </c>
      <c r="C98" s="4"/>
      <c r="D98" s="4"/>
      <c r="E98" s="4"/>
      <c r="F98" s="631">
        <v>283</v>
      </c>
    </row>
    <row r="99" spans="1:6" x14ac:dyDescent="0.2">
      <c r="B99" s="7"/>
      <c r="C99" s="409"/>
      <c r="D99" s="7"/>
      <c r="E99" s="7"/>
      <c r="F99" s="632"/>
    </row>
    <row r="100" spans="1:6" ht="25.5" customHeight="1" x14ac:dyDescent="0.2">
      <c r="A100" s="5"/>
      <c r="B100" s="4" t="s">
        <v>307</v>
      </c>
      <c r="C100" s="4"/>
      <c r="D100" s="4"/>
      <c r="E100" s="4"/>
      <c r="F100" s="633">
        <v>2571.4499999999998</v>
      </c>
    </row>
    <row r="101" spans="1:6" x14ac:dyDescent="0.2">
      <c r="F101" s="634"/>
    </row>
    <row r="102" spans="1:6" ht="26.25" customHeight="1" x14ac:dyDescent="0.2">
      <c r="A102" s="5"/>
      <c r="B102" s="4" t="s">
        <v>557</v>
      </c>
      <c r="C102" s="4"/>
      <c r="D102" s="4"/>
      <c r="E102" s="4"/>
      <c r="F102" s="633">
        <v>1432297</v>
      </c>
    </row>
    <row r="103" spans="1:6" ht="26.25" customHeight="1" x14ac:dyDescent="0.2">
      <c r="A103" s="5"/>
      <c r="B103" s="7"/>
      <c r="C103" s="7"/>
      <c r="D103" s="7"/>
      <c r="E103" s="7"/>
      <c r="F103" s="635"/>
    </row>
    <row r="104" spans="1:6" ht="12.75" customHeight="1" x14ac:dyDescent="0.2">
      <c r="A104" s="5" t="s">
        <v>267</v>
      </c>
      <c r="B104" s="216" t="s">
        <v>599</v>
      </c>
      <c r="C104" s="216"/>
      <c r="D104" s="216"/>
      <c r="E104" s="216"/>
      <c r="F104" s="216"/>
    </row>
    <row r="105" spans="1:6" x14ac:dyDescent="0.2">
      <c r="A105" s="628"/>
      <c r="B105" s="629" t="s">
        <v>600</v>
      </c>
      <c r="C105" s="636"/>
      <c r="D105" s="636"/>
      <c r="E105" s="637"/>
    </row>
    <row r="106" spans="1:6" x14ac:dyDescent="0.2">
      <c r="A106" s="628"/>
      <c r="B106" s="629" t="s">
        <v>138</v>
      </c>
      <c r="C106" s="636"/>
      <c r="D106" s="636"/>
      <c r="E106" s="637"/>
    </row>
    <row r="107" spans="1:6" x14ac:dyDescent="0.2">
      <c r="A107" s="628"/>
      <c r="B107" s="629" t="s">
        <v>451</v>
      </c>
      <c r="C107" s="636"/>
      <c r="D107" s="636"/>
      <c r="E107" s="176"/>
    </row>
    <row r="108" spans="1:6" x14ac:dyDescent="0.2">
      <c r="A108" s="628"/>
      <c r="B108" s="629" t="s">
        <v>452</v>
      </c>
      <c r="C108" s="636"/>
      <c r="D108" s="636"/>
      <c r="E108" s="176"/>
    </row>
    <row r="109" spans="1:6" ht="12.95" customHeight="1" x14ac:dyDescent="0.2">
      <c r="A109" s="638" t="s">
        <v>684</v>
      </c>
      <c r="B109" s="639" t="s">
        <v>32</v>
      </c>
      <c r="C109" s="639"/>
      <c r="D109" s="639"/>
      <c r="E109" s="488"/>
    </row>
    <row r="110" spans="1:6" x14ac:dyDescent="0.2">
      <c r="A110" s="640"/>
      <c r="B110" s="641" t="s">
        <v>701</v>
      </c>
      <c r="C110" s="641"/>
      <c r="D110" s="641"/>
      <c r="E110" s="488"/>
    </row>
    <row r="111" spans="1:6" x14ac:dyDescent="0.2"/>
    <row r="112" spans="1:6" ht="15.75" x14ac:dyDescent="0.2">
      <c r="B112" s="642" t="s">
        <v>135</v>
      </c>
    </row>
    <row r="113" spans="1:6" ht="12.75" customHeight="1" x14ac:dyDescent="0.2">
      <c r="B113" s="643"/>
    </row>
    <row r="114" spans="1:6" x14ac:dyDescent="0.2">
      <c r="A114" s="5" t="s">
        <v>268</v>
      </c>
      <c r="B114" s="216" t="s">
        <v>558</v>
      </c>
      <c r="C114" s="216"/>
      <c r="D114" s="216"/>
      <c r="E114" s="216"/>
      <c r="F114" s="216"/>
    </row>
    <row r="115" spans="1:6" x14ac:dyDescent="0.2">
      <c r="A115" s="5"/>
      <c r="B115" s="347"/>
      <c r="C115" s="347"/>
      <c r="D115" s="347"/>
      <c r="E115" s="347"/>
      <c r="F115" s="347"/>
    </row>
    <row r="116" spans="1:6" x14ac:dyDescent="0.2">
      <c r="A116" s="18" t="s">
        <v>684</v>
      </c>
      <c r="B116" s="644" t="s">
        <v>136</v>
      </c>
      <c r="C116" s="55"/>
      <c r="D116" s="55"/>
      <c r="E116" s="488"/>
    </row>
    <row r="117" spans="1:6" x14ac:dyDescent="0.2">
      <c r="A117" s="628"/>
      <c r="B117" s="644" t="s">
        <v>137</v>
      </c>
      <c r="C117" s="55"/>
      <c r="D117" s="55"/>
      <c r="E117" s="176"/>
    </row>
    <row r="118" spans="1:6" x14ac:dyDescent="0.2">
      <c r="A118" s="628"/>
      <c r="B118" s="644" t="s">
        <v>138</v>
      </c>
      <c r="C118" s="55"/>
      <c r="D118" s="55"/>
      <c r="E118" s="176"/>
    </row>
    <row r="119" spans="1:6" x14ac:dyDescent="0.2">
      <c r="A119" s="18" t="s">
        <v>684</v>
      </c>
      <c r="B119" s="644" t="s">
        <v>139</v>
      </c>
      <c r="C119" s="55"/>
      <c r="D119" s="55"/>
      <c r="E119" s="488"/>
    </row>
    <row r="120" spans="1:6" x14ac:dyDescent="0.2">
      <c r="A120" s="628"/>
      <c r="B120" s="644" t="s">
        <v>453</v>
      </c>
      <c r="C120" s="55"/>
      <c r="D120" s="55"/>
      <c r="E120" s="176"/>
    </row>
    <row r="121" spans="1:6" x14ac:dyDescent="0.2">
      <c r="A121" s="628"/>
      <c r="B121" s="644" t="s">
        <v>140</v>
      </c>
      <c r="C121" s="55"/>
      <c r="D121" s="55"/>
      <c r="E121" s="176"/>
    </row>
    <row r="122" spans="1:6" x14ac:dyDescent="0.2">
      <c r="A122" s="18" t="s">
        <v>684</v>
      </c>
      <c r="B122" s="212" t="s">
        <v>32</v>
      </c>
      <c r="C122" s="4"/>
      <c r="D122" s="4"/>
      <c r="E122" s="488"/>
    </row>
    <row r="123" spans="1:6" x14ac:dyDescent="0.2">
      <c r="A123" s="5"/>
      <c r="B123" s="641" t="s">
        <v>701</v>
      </c>
      <c r="C123" s="641"/>
      <c r="D123" s="641"/>
    </row>
    <row r="124" spans="1:6" x14ac:dyDescent="0.2"/>
    <row r="125" spans="1:6" x14ac:dyDescent="0.2">
      <c r="A125" s="645" t="s">
        <v>269</v>
      </c>
      <c r="B125" s="646" t="s">
        <v>141</v>
      </c>
      <c r="C125" s="646"/>
      <c r="D125" s="646"/>
      <c r="E125" s="646"/>
      <c r="F125" s="646"/>
    </row>
    <row r="126" spans="1:6" x14ac:dyDescent="0.2">
      <c r="A126" s="645"/>
      <c r="B126" s="647"/>
      <c r="C126" s="648" t="s">
        <v>142</v>
      </c>
      <c r="D126" s="649" t="s">
        <v>912</v>
      </c>
      <c r="E126" s="650"/>
      <c r="F126" s="651"/>
    </row>
    <row r="127" spans="1:6" x14ac:dyDescent="0.2">
      <c r="A127" s="645"/>
      <c r="B127" s="647"/>
      <c r="C127" s="648" t="s">
        <v>143</v>
      </c>
      <c r="D127" s="652"/>
      <c r="E127" s="650"/>
      <c r="F127" s="653"/>
    </row>
    <row r="128" spans="1:6" x14ac:dyDescent="0.2">
      <c r="A128" s="645"/>
      <c r="B128" s="647"/>
      <c r="C128" s="648"/>
      <c r="D128" s="654"/>
      <c r="E128" s="650"/>
      <c r="F128" s="653"/>
    </row>
    <row r="129" spans="1:6" x14ac:dyDescent="0.2">
      <c r="A129" s="645"/>
      <c r="B129" s="18" t="s">
        <v>684</v>
      </c>
      <c r="C129" s="655" t="s">
        <v>900</v>
      </c>
      <c r="D129" s="587"/>
      <c r="E129" s="587"/>
      <c r="F129" s="653"/>
    </row>
    <row r="130" spans="1:6" x14ac:dyDescent="0.2">
      <c r="A130" s="653"/>
      <c r="B130" s="656"/>
      <c r="C130" s="656"/>
      <c r="D130" s="653"/>
      <c r="E130" s="653"/>
      <c r="F130" s="653"/>
    </row>
    <row r="131" spans="1:6" ht="12.95" customHeight="1" x14ac:dyDescent="0.2">
      <c r="A131" s="645" t="s">
        <v>270</v>
      </c>
      <c r="B131" s="587" t="s">
        <v>601</v>
      </c>
      <c r="C131" s="587"/>
      <c r="D131" s="587"/>
      <c r="E131" s="587"/>
      <c r="F131" s="587"/>
    </row>
    <row r="132" spans="1:6" x14ac:dyDescent="0.2">
      <c r="A132" s="645"/>
      <c r="B132" s="627"/>
      <c r="C132" s="627"/>
      <c r="D132" s="627"/>
      <c r="E132" s="627"/>
      <c r="F132" s="627"/>
    </row>
    <row r="133" spans="1:6" x14ac:dyDescent="0.2">
      <c r="A133" s="645"/>
      <c r="B133" s="653"/>
      <c r="C133" s="657" t="s">
        <v>901</v>
      </c>
      <c r="D133" s="658"/>
      <c r="E133" s="659"/>
      <c r="F133" s="651"/>
    </row>
    <row r="134" spans="1:6" x14ac:dyDescent="0.2">
      <c r="A134" s="645"/>
      <c r="B134" s="660"/>
      <c r="C134" s="660"/>
      <c r="D134" s="661"/>
      <c r="E134" s="662"/>
      <c r="F134" s="651"/>
    </row>
    <row r="135" spans="1:6" x14ac:dyDescent="0.2">
      <c r="A135" s="645"/>
      <c r="B135" s="663"/>
      <c r="C135" s="664" t="s">
        <v>902</v>
      </c>
      <c r="D135" s="665"/>
      <c r="E135" s="665"/>
      <c r="F135" s="651"/>
    </row>
    <row r="136" spans="1:6" x14ac:dyDescent="0.2">
      <c r="A136" s="645"/>
      <c r="B136" s="18" t="s">
        <v>684</v>
      </c>
      <c r="C136" s="666" t="s">
        <v>344</v>
      </c>
      <c r="D136" s="659"/>
      <c r="E136" s="653"/>
      <c r="F136" s="653"/>
    </row>
    <row r="137" spans="1:6" x14ac:dyDescent="0.2">
      <c r="A137" s="653"/>
      <c r="B137" s="628"/>
      <c r="C137" s="648" t="s">
        <v>345</v>
      </c>
      <c r="D137" s="653"/>
      <c r="E137" s="653"/>
      <c r="F137" s="653"/>
    </row>
    <row r="138" spans="1:6" ht="17.25" customHeight="1" x14ac:dyDescent="0.2">
      <c r="A138" s="653"/>
      <c r="B138" s="653"/>
      <c r="C138" s="667" t="s">
        <v>602</v>
      </c>
      <c r="D138" s="668" t="s">
        <v>913</v>
      </c>
      <c r="E138" s="653"/>
      <c r="F138" s="653"/>
    </row>
    <row r="139" spans="1:6" x14ac:dyDescent="0.2">
      <c r="A139" s="653"/>
      <c r="B139" s="653"/>
      <c r="C139" s="667"/>
      <c r="D139" s="653"/>
      <c r="E139" s="653"/>
      <c r="F139" s="653"/>
    </row>
    <row r="140" spans="1:6" x14ac:dyDescent="0.2">
      <c r="A140" s="5" t="s">
        <v>903</v>
      </c>
      <c r="B140" s="669" t="s">
        <v>904</v>
      </c>
      <c r="C140" s="669"/>
      <c r="D140" s="26"/>
      <c r="E140" s="653"/>
      <c r="F140" s="653"/>
    </row>
    <row r="141" spans="1:6" x14ac:dyDescent="0.2">
      <c r="A141" s="5"/>
      <c r="B141" s="669" t="s">
        <v>905</v>
      </c>
      <c r="C141" s="669"/>
      <c r="D141" s="670" t="s">
        <v>914</v>
      </c>
      <c r="E141" s="653"/>
      <c r="F141" s="653"/>
    </row>
    <row r="142" spans="1:6" x14ac:dyDescent="0.2">
      <c r="A142" s="5"/>
      <c r="B142" s="669" t="s">
        <v>906</v>
      </c>
      <c r="C142" s="669"/>
      <c r="D142" s="671"/>
      <c r="E142" s="653"/>
      <c r="F142" s="653"/>
    </row>
    <row r="143" spans="1:6" x14ac:dyDescent="0.2">
      <c r="A143" s="653"/>
      <c r="B143" s="653"/>
      <c r="C143" s="648"/>
      <c r="D143" s="653"/>
      <c r="E143" s="653"/>
      <c r="F143" s="653"/>
    </row>
    <row r="144" spans="1:6" ht="15.75" x14ac:dyDescent="0.2">
      <c r="B144" s="642" t="s">
        <v>63</v>
      </c>
    </row>
    <row r="145" spans="1:5" ht="23.45" customHeight="1" x14ac:dyDescent="0.2">
      <c r="A145" s="507"/>
      <c r="B145" s="672" t="s">
        <v>559</v>
      </c>
      <c r="C145" s="124"/>
      <c r="D145" s="124"/>
      <c r="E145" s="124"/>
    </row>
    <row r="146" spans="1:5" x14ac:dyDescent="0.2">
      <c r="A146" s="5" t="s">
        <v>271</v>
      </c>
      <c r="B146" s="673" t="s">
        <v>64</v>
      </c>
      <c r="C146" s="673"/>
      <c r="D146" s="26"/>
    </row>
    <row r="147" spans="1:5" x14ac:dyDescent="0.2">
      <c r="A147" s="5"/>
      <c r="B147" s="669"/>
      <c r="C147" s="669"/>
      <c r="D147" s="669"/>
    </row>
    <row r="148" spans="1:5" x14ac:dyDescent="0.2">
      <c r="A148" s="18" t="s">
        <v>684</v>
      </c>
      <c r="B148" s="674" t="s">
        <v>65</v>
      </c>
      <c r="C148" s="674"/>
      <c r="D148" s="382"/>
      <c r="E148" s="488"/>
    </row>
    <row r="149" spans="1:5" x14ac:dyDescent="0.2">
      <c r="A149" s="18" t="s">
        <v>684</v>
      </c>
      <c r="B149" s="674" t="s">
        <v>66</v>
      </c>
      <c r="C149" s="674"/>
      <c r="D149" s="674"/>
      <c r="E149" s="488"/>
    </row>
    <row r="150" spans="1:5" x14ac:dyDescent="0.2">
      <c r="A150" s="18" t="s">
        <v>684</v>
      </c>
      <c r="B150" s="674" t="s">
        <v>67</v>
      </c>
      <c r="C150" s="674"/>
      <c r="D150" s="674"/>
      <c r="E150" s="488"/>
    </row>
    <row r="151" spans="1:5" x14ac:dyDescent="0.2">
      <c r="A151" s="18"/>
      <c r="B151" s="674" t="s">
        <v>68</v>
      </c>
      <c r="C151" s="674"/>
      <c r="D151" s="674"/>
    </row>
    <row r="152" spans="1:5" x14ac:dyDescent="0.2">
      <c r="A152" s="207"/>
      <c r="B152" s="674" t="s">
        <v>512</v>
      </c>
      <c r="C152" s="674"/>
      <c r="D152" s="674"/>
      <c r="E152" s="488"/>
    </row>
    <row r="153" spans="1:5" x14ac:dyDescent="0.2">
      <c r="A153" s="207"/>
      <c r="B153" s="674" t="s">
        <v>513</v>
      </c>
      <c r="C153" s="674"/>
      <c r="D153" s="674"/>
      <c r="E153" s="501"/>
    </row>
    <row r="154" spans="1:5" x14ac:dyDescent="0.2">
      <c r="A154" s="18" t="s">
        <v>684</v>
      </c>
      <c r="B154" s="674" t="s">
        <v>514</v>
      </c>
      <c r="C154" s="674"/>
      <c r="D154" s="674"/>
      <c r="E154" s="501"/>
    </row>
    <row r="155" spans="1:5" x14ac:dyDescent="0.2">
      <c r="A155" s="207"/>
      <c r="B155" s="385" t="s">
        <v>32</v>
      </c>
      <c r="C155" s="385"/>
      <c r="D155" s="385"/>
      <c r="E155" s="488"/>
    </row>
    <row r="156" spans="1:5" ht="12.95" customHeight="1" x14ac:dyDescent="0.2">
      <c r="A156" s="5"/>
      <c r="B156" s="675"/>
      <c r="C156" s="33"/>
      <c r="D156" s="33"/>
      <c r="E156" s="191"/>
    </row>
    <row r="157" spans="1:5" x14ac:dyDescent="0.2">
      <c r="A157" s="5"/>
    </row>
    <row r="158" spans="1:5" x14ac:dyDescent="0.2">
      <c r="A158" s="5" t="s">
        <v>272</v>
      </c>
      <c r="B158" s="673" t="s">
        <v>907</v>
      </c>
      <c r="C158" s="673"/>
      <c r="D158" s="26"/>
    </row>
    <row r="159" spans="1:5" x14ac:dyDescent="0.2">
      <c r="A159" s="5"/>
      <c r="B159" s="669"/>
      <c r="C159" s="669"/>
      <c r="D159" s="26"/>
    </row>
    <row r="160" spans="1:5" x14ac:dyDescent="0.2">
      <c r="A160" s="18" t="s">
        <v>684</v>
      </c>
      <c r="B160" s="674" t="s">
        <v>515</v>
      </c>
      <c r="C160" s="674"/>
      <c r="D160" s="674"/>
      <c r="E160" s="488"/>
    </row>
    <row r="161" spans="1:6" x14ac:dyDescent="0.2">
      <c r="A161" s="18" t="s">
        <v>684</v>
      </c>
      <c r="B161" s="674" t="s">
        <v>516</v>
      </c>
      <c r="C161" s="674"/>
      <c r="D161" s="674"/>
      <c r="E161" s="488"/>
    </row>
    <row r="162" spans="1:6" x14ac:dyDescent="0.2">
      <c r="A162" s="18" t="s">
        <v>684</v>
      </c>
      <c r="B162" s="674" t="s">
        <v>517</v>
      </c>
      <c r="C162" s="674"/>
      <c r="D162" s="674"/>
      <c r="E162" s="488"/>
    </row>
    <row r="163" spans="1:6" x14ac:dyDescent="0.2">
      <c r="A163" s="18" t="s">
        <v>684</v>
      </c>
      <c r="B163" s="674" t="s">
        <v>518</v>
      </c>
      <c r="C163" s="674"/>
      <c r="D163" s="674"/>
      <c r="E163" s="488"/>
    </row>
    <row r="164" spans="1:6" x14ac:dyDescent="0.2">
      <c r="A164" s="18" t="s">
        <v>684</v>
      </c>
      <c r="B164" s="674" t="s">
        <v>308</v>
      </c>
      <c r="C164" s="674"/>
      <c r="D164" s="674"/>
      <c r="E164" s="488"/>
    </row>
    <row r="165" spans="1:6" x14ac:dyDescent="0.2">
      <c r="A165" s="18" t="s">
        <v>684</v>
      </c>
      <c r="B165" s="674" t="s">
        <v>519</v>
      </c>
      <c r="C165" s="674"/>
      <c r="D165" s="674"/>
      <c r="E165" s="488"/>
    </row>
    <row r="166" spans="1:6" x14ac:dyDescent="0.2">
      <c r="A166" s="207"/>
      <c r="B166" s="674" t="s">
        <v>520</v>
      </c>
      <c r="C166" s="674"/>
      <c r="D166" s="674"/>
      <c r="E166" s="501"/>
    </row>
    <row r="167" spans="1:6" ht="12.95" customHeight="1" x14ac:dyDescent="0.2">
      <c r="A167" s="207"/>
      <c r="B167" s="385" t="s">
        <v>32</v>
      </c>
      <c r="C167" s="385"/>
      <c r="D167" s="385"/>
      <c r="E167" s="637"/>
    </row>
    <row r="168" spans="1:6" x14ac:dyDescent="0.2">
      <c r="A168" s="5"/>
      <c r="B168" s="676"/>
      <c r="C168" s="676"/>
      <c r="D168" s="676"/>
      <c r="E168" s="191"/>
    </row>
    <row r="169" spans="1:6" x14ac:dyDescent="0.2"/>
    <row r="170" spans="1:6" x14ac:dyDescent="0.2">
      <c r="A170" s="5" t="s">
        <v>273</v>
      </c>
      <c r="B170" s="296" t="s">
        <v>107</v>
      </c>
      <c r="C170" s="166"/>
      <c r="D170" s="166"/>
      <c r="E170" s="166"/>
      <c r="F170" s="166"/>
    </row>
    <row r="171" spans="1:6" x14ac:dyDescent="0.2">
      <c r="A171" s="5"/>
      <c r="B171" s="197"/>
      <c r="C171" s="197"/>
      <c r="D171" s="677" t="s">
        <v>521</v>
      </c>
      <c r="E171" s="677" t="s">
        <v>522</v>
      </c>
    </row>
    <row r="172" spans="1:6" x14ac:dyDescent="0.2">
      <c r="A172" s="5"/>
      <c r="B172" s="195" t="s">
        <v>523</v>
      </c>
      <c r="C172" s="195"/>
      <c r="D172" s="18" t="s">
        <v>684</v>
      </c>
      <c r="E172" s="18" t="s">
        <v>684</v>
      </c>
    </row>
    <row r="173" spans="1:6" x14ac:dyDescent="0.2">
      <c r="A173" s="5"/>
      <c r="B173" s="195" t="s">
        <v>524</v>
      </c>
      <c r="C173" s="195"/>
      <c r="D173" s="18" t="s">
        <v>684</v>
      </c>
      <c r="E173" s="18" t="s">
        <v>684</v>
      </c>
    </row>
    <row r="174" spans="1:6" x14ac:dyDescent="0.2">
      <c r="A174" s="5"/>
      <c r="B174" s="195" t="s">
        <v>525</v>
      </c>
      <c r="C174" s="195"/>
      <c r="D174" s="18" t="s">
        <v>684</v>
      </c>
      <c r="E174" s="17"/>
    </row>
    <row r="175" spans="1:6" x14ac:dyDescent="0.2">
      <c r="A175" s="5"/>
      <c r="B175" s="195" t="s">
        <v>526</v>
      </c>
      <c r="C175" s="195"/>
      <c r="D175" s="18" t="s">
        <v>684</v>
      </c>
      <c r="E175" s="17"/>
    </row>
    <row r="176" spans="1:6" x14ac:dyDescent="0.2">
      <c r="A176" s="5"/>
      <c r="B176" s="195" t="s">
        <v>527</v>
      </c>
      <c r="C176" s="195"/>
      <c r="D176" s="18" t="s">
        <v>684</v>
      </c>
      <c r="E176" s="17"/>
    </row>
    <row r="177" spans="1:5" x14ac:dyDescent="0.2">
      <c r="A177" s="5"/>
      <c r="B177" s="195" t="s">
        <v>528</v>
      </c>
      <c r="C177" s="195"/>
      <c r="D177" s="18" t="s">
        <v>684</v>
      </c>
      <c r="E177" s="678"/>
    </row>
    <row r="178" spans="1:5" x14ac:dyDescent="0.2">
      <c r="A178" s="5"/>
      <c r="B178" s="195" t="s">
        <v>529</v>
      </c>
      <c r="C178" s="195"/>
      <c r="D178" s="18" t="s">
        <v>684</v>
      </c>
      <c r="E178" s="18" t="s">
        <v>684</v>
      </c>
    </row>
    <row r="179" spans="1:5" x14ac:dyDescent="0.2">
      <c r="A179" s="5"/>
      <c r="B179" s="195" t="s">
        <v>635</v>
      </c>
      <c r="C179" s="195"/>
      <c r="D179" s="18" t="s">
        <v>684</v>
      </c>
      <c r="E179" s="18" t="s">
        <v>684</v>
      </c>
    </row>
    <row r="180" spans="1:5" x14ac:dyDescent="0.2">
      <c r="A180" s="5"/>
      <c r="B180" s="195" t="s">
        <v>530</v>
      </c>
      <c r="C180" s="195"/>
      <c r="D180" s="18" t="s">
        <v>684</v>
      </c>
      <c r="E180" s="18" t="s">
        <v>684</v>
      </c>
    </row>
    <row r="181" spans="1:5" x14ac:dyDescent="0.2">
      <c r="A181" s="5"/>
      <c r="B181" s="195" t="s">
        <v>531</v>
      </c>
      <c r="C181" s="195"/>
      <c r="D181" s="17"/>
      <c r="E181" s="17"/>
    </row>
    <row r="182" spans="1:5" x14ac:dyDescent="0.2">
      <c r="A182" s="5"/>
      <c r="B182" s="195" t="s">
        <v>532</v>
      </c>
      <c r="C182" s="195"/>
      <c r="D182" s="18" t="s">
        <v>684</v>
      </c>
      <c r="E182" s="17"/>
    </row>
    <row r="183" spans="1:5" x14ac:dyDescent="0.2"/>
    <row r="184" spans="1:5" ht="60.75" hidden="1" customHeight="1" x14ac:dyDescent="0.2">
      <c r="A184" s="5" t="s">
        <v>401</v>
      </c>
      <c r="B184" s="679" t="s">
        <v>402</v>
      </c>
      <c r="C184" s="680"/>
      <c r="D184" s="680"/>
      <c r="E184" s="680"/>
    </row>
    <row r="185" spans="1:5" ht="141" hidden="1" customHeight="1" x14ac:dyDescent="0.2">
      <c r="B185" s="625" t="s">
        <v>956</v>
      </c>
      <c r="C185" s="625"/>
      <c r="D185" s="625"/>
      <c r="E185" s="625"/>
    </row>
    <row r="186" spans="1:5" hidden="1" x14ac:dyDescent="0.2">
      <c r="B186" s="331" t="s">
        <v>908</v>
      </c>
      <c r="C186" s="331"/>
      <c r="D186" s="331"/>
      <c r="E186" s="331"/>
    </row>
    <row r="187" spans="1:5" hidden="1" x14ac:dyDescent="0.2">
      <c r="B187" s="681"/>
      <c r="C187" s="681"/>
      <c r="D187" s="681"/>
      <c r="E187" s="681"/>
    </row>
    <row r="188" spans="1:5" hidden="1" x14ac:dyDescent="0.2">
      <c r="B188" s="18" t="s">
        <v>684</v>
      </c>
      <c r="C188" s="330" t="s">
        <v>344</v>
      </c>
      <c r="D188" s="26"/>
      <c r="E188" s="26"/>
    </row>
    <row r="189" spans="1:5" hidden="1" x14ac:dyDescent="0.2">
      <c r="B189" s="18"/>
      <c r="C189" s="330" t="s">
        <v>345</v>
      </c>
      <c r="D189" s="26"/>
      <c r="E189" s="26"/>
    </row>
    <row r="190" spans="1:5" x14ac:dyDescent="0.2"/>
    <row r="191" spans="1:5" x14ac:dyDescent="0.2"/>
    <row r="192" spans="1:5" x14ac:dyDescent="0.2"/>
    <row r="193" x14ac:dyDescent="0.2"/>
    <row r="194" x14ac:dyDescent="0.2"/>
    <row r="195" x14ac:dyDescent="0.2"/>
    <row r="197" x14ac:dyDescent="0.2"/>
    <row r="198" x14ac:dyDescent="0.2"/>
    <row r="199" x14ac:dyDescent="0.2"/>
    <row r="200" x14ac:dyDescent="0.2"/>
    <row r="201" x14ac:dyDescent="0.2"/>
    <row r="202" x14ac:dyDescent="0.2"/>
    <row r="203" x14ac:dyDescent="0.2"/>
    <row r="204" x14ac:dyDescent="0.2"/>
    <row r="205" x14ac:dyDescent="0.2"/>
    <row r="208" x14ac:dyDescent="0.2"/>
  </sheetData>
  <sheetProtection algorithmName="SHA-512" hashValue="IR6smOEw/Ps12ZDn3Z/l5yEQc/1S8KmWKsxda3DtUwgqDqic71xjrYARHsAp6lOeP2Rn7xux5ko6SvZimCGPdg==" saltValue="gOIjWJwwMiN9CBRcqtwjgw==" spinCount="100000" sheet="1" objects="1" scenarios="1"/>
  <mergeCells count="126">
    <mergeCell ref="B185:E185"/>
    <mergeCell ref="B186:E186"/>
    <mergeCell ref="B184:E184"/>
    <mergeCell ref="B102:E102"/>
    <mergeCell ref="F82:F83"/>
    <mergeCell ref="B182:C182"/>
    <mergeCell ref="B178:C178"/>
    <mergeCell ref="B175:C175"/>
    <mergeCell ref="B176:C176"/>
    <mergeCell ref="B177:C177"/>
    <mergeCell ref="B123:D123"/>
    <mergeCell ref="B180:C180"/>
    <mergeCell ref="B181:C181"/>
    <mergeCell ref="B179:C179"/>
    <mergeCell ref="B172:C172"/>
    <mergeCell ref="B173:C173"/>
    <mergeCell ref="B174:C174"/>
    <mergeCell ref="B171:C171"/>
    <mergeCell ref="B121:D121"/>
    <mergeCell ref="B122:D122"/>
    <mergeCell ref="B140:C140"/>
    <mergeCell ref="B141:C141"/>
    <mergeCell ref="B100:E100"/>
    <mergeCell ref="B104:F104"/>
    <mergeCell ref="B31:D31"/>
    <mergeCell ref="B33:D33"/>
    <mergeCell ref="B93:F93"/>
    <mergeCell ref="B35:F35"/>
    <mergeCell ref="B56:F56"/>
    <mergeCell ref="B90:F90"/>
    <mergeCell ref="C82:C83"/>
    <mergeCell ref="B3:D3"/>
    <mergeCell ref="B4:F4"/>
    <mergeCell ref="B22:D22"/>
    <mergeCell ref="B23:D23"/>
    <mergeCell ref="B24:D24"/>
    <mergeCell ref="B25:F25"/>
    <mergeCell ref="B26:D26"/>
    <mergeCell ref="B27:D27"/>
    <mergeCell ref="B28:D28"/>
    <mergeCell ref="B29:D29"/>
    <mergeCell ref="B30:F30"/>
    <mergeCell ref="C70:F70"/>
    <mergeCell ref="C71:F71"/>
    <mergeCell ref="C73:F73"/>
    <mergeCell ref="B32:D32"/>
    <mergeCell ref="B79:F79"/>
    <mergeCell ref="A1:F1"/>
    <mergeCell ref="B18:D18"/>
    <mergeCell ref="B19:F19"/>
    <mergeCell ref="B20:D20"/>
    <mergeCell ref="B16:C16"/>
    <mergeCell ref="B12:F12"/>
    <mergeCell ref="B14:C14"/>
    <mergeCell ref="B15:C15"/>
    <mergeCell ref="B21:D21"/>
    <mergeCell ref="B5:F5"/>
    <mergeCell ref="B6:F6"/>
    <mergeCell ref="B7:F7"/>
    <mergeCell ref="B8:F8"/>
    <mergeCell ref="B10:D10"/>
    <mergeCell ref="B11:D11"/>
    <mergeCell ref="B98:E98"/>
    <mergeCell ref="B36:F36"/>
    <mergeCell ref="B37:F37"/>
    <mergeCell ref="B38:F38"/>
    <mergeCell ref="B39:F39"/>
    <mergeCell ref="B59:F59"/>
    <mergeCell ref="B57:F57"/>
    <mergeCell ref="B58:F58"/>
    <mergeCell ref="C76:F76"/>
    <mergeCell ref="C66:F66"/>
    <mergeCell ref="C72:F72"/>
    <mergeCell ref="C68:F68"/>
    <mergeCell ref="C69:F69"/>
    <mergeCell ref="C74:F74"/>
    <mergeCell ref="C75:F75"/>
    <mergeCell ref="B78:E78"/>
    <mergeCell ref="B80:G80"/>
    <mergeCell ref="B81:G81"/>
    <mergeCell ref="B146:C146"/>
    <mergeCell ref="B118:D118"/>
    <mergeCell ref="B110:D110"/>
    <mergeCell ref="B114:F114"/>
    <mergeCell ref="B119:D119"/>
    <mergeCell ref="B120:D120"/>
    <mergeCell ref="B116:D116"/>
    <mergeCell ref="B117:D117"/>
    <mergeCell ref="E82:E83"/>
    <mergeCell ref="D82:D83"/>
    <mergeCell ref="B91:E91"/>
    <mergeCell ref="B94:D94"/>
    <mergeCell ref="B95:D95"/>
    <mergeCell ref="B96:D96"/>
    <mergeCell ref="B134:C134"/>
    <mergeCell ref="B131:F131"/>
    <mergeCell ref="B106:D106"/>
    <mergeCell ref="B107:D107"/>
    <mergeCell ref="B105:D105"/>
    <mergeCell ref="B108:D108"/>
    <mergeCell ref="B109:D109"/>
    <mergeCell ref="B125:F125"/>
    <mergeCell ref="C129:E129"/>
    <mergeCell ref="B142:C142"/>
    <mergeCell ref="B158:C158"/>
    <mergeCell ref="B147:D147"/>
    <mergeCell ref="B159:C159"/>
    <mergeCell ref="B148:D148"/>
    <mergeCell ref="B149:D149"/>
    <mergeCell ref="B150:D150"/>
    <mergeCell ref="B166:D166"/>
    <mergeCell ref="B156:D156"/>
    <mergeCell ref="B153:D153"/>
    <mergeCell ref="B154:D154"/>
    <mergeCell ref="B155:D155"/>
    <mergeCell ref="B152:D152"/>
    <mergeCell ref="B151:D151"/>
    <mergeCell ref="B170:F170"/>
    <mergeCell ref="B167:D167"/>
    <mergeCell ref="B168:D168"/>
    <mergeCell ref="B160:D160"/>
    <mergeCell ref="B161:D161"/>
    <mergeCell ref="B162:D162"/>
    <mergeCell ref="B163:D163"/>
    <mergeCell ref="B164:D164"/>
    <mergeCell ref="B165:D165"/>
  </mergeCells>
  <phoneticPr fontId="0" type="noConversion"/>
  <printOptions horizontalCentered="1"/>
  <pageMargins left="0.75" right="0.75" top="1.5" bottom="0.5" header="0.25" footer="0.5"/>
  <pageSetup scale="83" orientation="portrait" r:id="rId1"/>
  <headerFooter alignWithMargins="0">
    <oddHeader>&amp;C&amp;"Arial,Bold"&amp;14&amp;K05-043Mississippi State University
&amp;11Office of Institutional Research and Effectiveness
Common Data Set 2022-23</oddHeader>
    <oddFooter>&amp;L&amp;9&amp;K05-049Updated: &amp;D&amp;C&amp;9&amp;K05-049&amp;A&amp;R&amp;9&amp;K05-049Page &amp;P</oddFooter>
  </headerFooter>
  <rowBreaks count="6" manualBreakCount="6">
    <brk id="34" max="5" man="1"/>
    <brk id="55" max="5" man="1"/>
    <brk id="78" max="5" man="1"/>
    <brk id="89" max="5" man="1"/>
    <brk id="111" max="5" man="1"/>
    <brk id="143" max="5" man="1"/>
  </rowBreaks>
  <ignoredErrors>
    <ignoredError sqref="E29:F29 F24" emptyCellReference="1"/>
  </ignoredError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A1:Q101"/>
  <sheetViews>
    <sheetView showRuler="0" topLeftCell="A10" zoomScaleNormal="100" workbookViewId="0">
      <selection activeCell="M65" sqref="M65"/>
    </sheetView>
  </sheetViews>
  <sheetFormatPr defaultRowHeight="12.75" zeroHeight="1" x14ac:dyDescent="0.2"/>
  <cols>
    <col min="1" max="2" width="3.85546875" style="2" customWidth="1"/>
    <col min="3" max="3" width="10.7109375" style="2" customWidth="1"/>
    <col min="4" max="11" width="9" style="2" customWidth="1"/>
    <col min="12" max="12" width="33.28515625" style="72" customWidth="1"/>
    <col min="13" max="13" width="9.140625" style="72"/>
    <col min="14" max="14" width="16.85546875" style="72" bestFit="1" customWidth="1"/>
    <col min="15" max="16" width="9.140625" style="72"/>
    <col min="17" max="16384" width="9.140625" style="2"/>
  </cols>
  <sheetData>
    <row r="1" spans="1:16" ht="18" x14ac:dyDescent="0.2">
      <c r="A1" s="682" t="s">
        <v>108</v>
      </c>
      <c r="B1" s="682"/>
      <c r="C1" s="682"/>
      <c r="D1" s="682"/>
      <c r="E1" s="682"/>
      <c r="F1" s="682"/>
      <c r="G1" s="682"/>
      <c r="H1" s="682"/>
      <c r="I1" s="682"/>
      <c r="J1" s="682"/>
      <c r="K1" s="682"/>
    </row>
    <row r="2" spans="1:16" x14ac:dyDescent="0.2"/>
    <row r="3" spans="1:16" ht="38.25" customHeight="1" x14ac:dyDescent="0.2">
      <c r="A3" s="6" t="s">
        <v>128</v>
      </c>
      <c r="B3" s="211" t="s">
        <v>949</v>
      </c>
      <c r="C3" s="683"/>
      <c r="D3" s="683"/>
      <c r="E3" s="683"/>
      <c r="F3" s="683"/>
      <c r="G3" s="683"/>
      <c r="H3" s="683"/>
      <c r="I3" s="683"/>
      <c r="J3" s="683"/>
      <c r="K3" s="683"/>
    </row>
    <row r="4" spans="1:16" x14ac:dyDescent="0.2">
      <c r="C4" s="284"/>
      <c r="D4" s="284"/>
      <c r="E4" s="284"/>
      <c r="F4" s="284"/>
      <c r="G4" s="284"/>
      <c r="H4" s="284"/>
      <c r="I4" s="284"/>
      <c r="J4" s="284"/>
      <c r="K4" s="284"/>
    </row>
    <row r="5" spans="1:16" x14ac:dyDescent="0.2">
      <c r="A5" s="6"/>
      <c r="B5" s="684"/>
      <c r="C5" s="685"/>
      <c r="D5" s="685"/>
      <c r="E5" s="685"/>
      <c r="F5" s="685"/>
      <c r="G5" s="685"/>
      <c r="H5" s="686"/>
      <c r="I5" s="677" t="s">
        <v>109</v>
      </c>
      <c r="J5" s="677" t="s">
        <v>110</v>
      </c>
      <c r="K5" s="677" t="s">
        <v>197</v>
      </c>
    </row>
    <row r="6" spans="1:16" x14ac:dyDescent="0.2">
      <c r="A6" s="6"/>
      <c r="B6" s="79" t="s">
        <v>859</v>
      </c>
      <c r="C6" s="687" t="s">
        <v>111</v>
      </c>
      <c r="D6" s="687"/>
      <c r="E6" s="687"/>
      <c r="F6" s="687"/>
      <c r="G6" s="687"/>
      <c r="H6" s="688"/>
      <c r="I6" s="97">
        <v>1072</v>
      </c>
      <c r="J6" s="97">
        <v>368</v>
      </c>
      <c r="K6" s="97">
        <f>SUM(I6:J6)</f>
        <v>1440</v>
      </c>
      <c r="M6" s="72">
        <v>1072</v>
      </c>
      <c r="N6" s="72" t="s">
        <v>978</v>
      </c>
      <c r="O6" s="72">
        <v>368</v>
      </c>
      <c r="P6" s="72" t="s">
        <v>979</v>
      </c>
    </row>
    <row r="7" spans="1:16" x14ac:dyDescent="0.2">
      <c r="A7" s="6"/>
      <c r="B7" s="79" t="s">
        <v>860</v>
      </c>
      <c r="C7" s="687" t="s">
        <v>112</v>
      </c>
      <c r="D7" s="687"/>
      <c r="E7" s="687"/>
      <c r="F7" s="687"/>
      <c r="G7" s="687"/>
      <c r="H7" s="688"/>
      <c r="I7" s="97">
        <v>221</v>
      </c>
      <c r="J7" s="97">
        <v>82</v>
      </c>
      <c r="K7" s="97">
        <f t="shared" ref="K7:K13" si="0">SUM(I7:J7)</f>
        <v>303</v>
      </c>
      <c r="M7" s="689">
        <f>O7</f>
        <v>122.66666666666667</v>
      </c>
      <c r="N7" s="72" t="s">
        <v>980</v>
      </c>
      <c r="O7" s="72">
        <f>O6/3</f>
        <v>122.66666666666667</v>
      </c>
      <c r="P7" s="72" t="s">
        <v>980</v>
      </c>
    </row>
    <row r="8" spans="1:16" x14ac:dyDescent="0.2">
      <c r="A8" s="6"/>
      <c r="B8" s="79" t="s">
        <v>861</v>
      </c>
      <c r="C8" s="687" t="s">
        <v>113</v>
      </c>
      <c r="D8" s="687"/>
      <c r="E8" s="687"/>
      <c r="F8" s="687"/>
      <c r="G8" s="687"/>
      <c r="H8" s="688"/>
      <c r="I8" s="97">
        <v>468</v>
      </c>
      <c r="J8" s="97">
        <v>197</v>
      </c>
      <c r="K8" s="97">
        <f t="shared" si="0"/>
        <v>665</v>
      </c>
      <c r="M8" s="689">
        <f>SUM(M6:M7)</f>
        <v>1194.6666666666667</v>
      </c>
    </row>
    <row r="9" spans="1:16" x14ac:dyDescent="0.2">
      <c r="A9" s="6"/>
      <c r="B9" s="79" t="s">
        <v>862</v>
      </c>
      <c r="C9" s="687" t="s">
        <v>114</v>
      </c>
      <c r="D9" s="687"/>
      <c r="E9" s="687"/>
      <c r="F9" s="687"/>
      <c r="G9" s="687"/>
      <c r="H9" s="688"/>
      <c r="I9" s="97">
        <v>604</v>
      </c>
      <c r="J9" s="97">
        <v>171</v>
      </c>
      <c r="K9" s="97">
        <f t="shared" si="0"/>
        <v>775</v>
      </c>
    </row>
    <row r="10" spans="1:16" ht="14.25" customHeight="1" x14ac:dyDescent="0.2">
      <c r="A10" s="6"/>
      <c r="B10" s="79" t="s">
        <v>863</v>
      </c>
      <c r="C10" s="687" t="s">
        <v>115</v>
      </c>
      <c r="D10" s="687"/>
      <c r="E10" s="687"/>
      <c r="F10" s="687"/>
      <c r="G10" s="687"/>
      <c r="H10" s="688"/>
      <c r="I10" s="97">
        <v>74</v>
      </c>
      <c r="J10" s="97">
        <v>4</v>
      </c>
      <c r="K10" s="97">
        <f t="shared" si="0"/>
        <v>78</v>
      </c>
    </row>
    <row r="11" spans="1:16" ht="25.5" customHeight="1" x14ac:dyDescent="0.2">
      <c r="A11" s="6"/>
      <c r="B11" s="79" t="s">
        <v>864</v>
      </c>
      <c r="C11" s="687" t="s">
        <v>98</v>
      </c>
      <c r="D11" s="687"/>
      <c r="E11" s="687"/>
      <c r="F11" s="687"/>
      <c r="G11" s="687"/>
      <c r="H11" s="688"/>
      <c r="I11" s="97">
        <v>889</v>
      </c>
      <c r="J11" s="97">
        <v>158</v>
      </c>
      <c r="K11" s="97">
        <f t="shared" si="0"/>
        <v>1047</v>
      </c>
    </row>
    <row r="12" spans="1:16" ht="26.25" customHeight="1" x14ac:dyDescent="0.2">
      <c r="A12" s="6"/>
      <c r="B12" s="79" t="s">
        <v>865</v>
      </c>
      <c r="C12" s="687" t="s">
        <v>116</v>
      </c>
      <c r="D12" s="687"/>
      <c r="E12" s="687"/>
      <c r="F12" s="687"/>
      <c r="G12" s="687"/>
      <c r="H12" s="688"/>
      <c r="I12" s="97">
        <v>179</v>
      </c>
      <c r="J12" s="97">
        <v>180</v>
      </c>
      <c r="K12" s="97">
        <f t="shared" si="0"/>
        <v>359</v>
      </c>
    </row>
    <row r="13" spans="1:16" x14ac:dyDescent="0.2">
      <c r="A13" s="6"/>
      <c r="B13" s="79" t="s">
        <v>866</v>
      </c>
      <c r="C13" s="687" t="s">
        <v>117</v>
      </c>
      <c r="D13" s="687"/>
      <c r="E13" s="687"/>
      <c r="F13" s="687"/>
      <c r="G13" s="687"/>
      <c r="H13" s="688"/>
      <c r="I13" s="97">
        <v>4</v>
      </c>
      <c r="J13" s="97">
        <v>18</v>
      </c>
      <c r="K13" s="97">
        <f t="shared" si="0"/>
        <v>22</v>
      </c>
    </row>
    <row r="14" spans="1:16" ht="25.5" customHeight="1" x14ac:dyDescent="0.2">
      <c r="A14" s="6"/>
      <c r="B14" s="79" t="s">
        <v>867</v>
      </c>
      <c r="C14" s="687" t="s">
        <v>283</v>
      </c>
      <c r="D14" s="687"/>
      <c r="E14" s="687"/>
      <c r="F14" s="687"/>
      <c r="G14" s="687"/>
      <c r="H14" s="688"/>
      <c r="I14" s="97">
        <v>0</v>
      </c>
      <c r="J14" s="97">
        <v>12</v>
      </c>
      <c r="K14" s="97">
        <f t="shared" ref="K14:K15" si="1">SUM(I14:J14)</f>
        <v>12</v>
      </c>
    </row>
    <row r="15" spans="1:16" ht="25.5" customHeight="1" x14ac:dyDescent="0.2">
      <c r="A15" s="6"/>
      <c r="B15" s="79" t="s">
        <v>869</v>
      </c>
      <c r="C15" s="52" t="s">
        <v>593</v>
      </c>
      <c r="D15" s="52"/>
      <c r="E15" s="52"/>
      <c r="F15" s="52"/>
      <c r="G15" s="52"/>
      <c r="H15" s="52"/>
      <c r="I15" s="97">
        <v>0</v>
      </c>
      <c r="J15" s="97">
        <v>0</v>
      </c>
      <c r="K15" s="97">
        <f t="shared" si="1"/>
        <v>0</v>
      </c>
    </row>
    <row r="16" spans="1:16" x14ac:dyDescent="0.2"/>
    <row r="17" spans="1:17" ht="23.25" customHeight="1" x14ac:dyDescent="0.2">
      <c r="A17" s="6" t="s">
        <v>129</v>
      </c>
      <c r="B17" s="690" t="s">
        <v>131</v>
      </c>
      <c r="C17" s="691"/>
      <c r="D17" s="691"/>
      <c r="E17" s="691"/>
      <c r="F17" s="691"/>
      <c r="G17" s="691"/>
      <c r="H17" s="691"/>
      <c r="I17" s="691"/>
      <c r="J17" s="691"/>
      <c r="K17" s="691"/>
    </row>
    <row r="18" spans="1:17" ht="30.6" customHeight="1" x14ac:dyDescent="0.2">
      <c r="B18" s="28" t="s">
        <v>950</v>
      </c>
      <c r="C18" s="4"/>
      <c r="D18" s="4"/>
      <c r="E18" s="4"/>
      <c r="F18" s="4"/>
      <c r="G18" s="4"/>
      <c r="H18" s="4"/>
      <c r="I18" s="4"/>
      <c r="J18" s="4"/>
      <c r="K18" s="4"/>
    </row>
    <row r="19" spans="1:17" x14ac:dyDescent="0.2">
      <c r="B19" s="347"/>
      <c r="C19" s="7"/>
      <c r="D19" s="7"/>
      <c r="E19" s="7"/>
      <c r="F19" s="7"/>
      <c r="G19" s="7"/>
      <c r="H19" s="7"/>
      <c r="I19" s="7"/>
      <c r="J19" s="7"/>
      <c r="K19" s="7"/>
    </row>
    <row r="20" spans="1:17" ht="38.1" customHeight="1" x14ac:dyDescent="0.2">
      <c r="A20" s="6"/>
      <c r="B20" s="209" t="s">
        <v>946</v>
      </c>
      <c r="C20" s="209"/>
      <c r="D20" s="209"/>
      <c r="E20" s="209"/>
      <c r="F20" s="209"/>
      <c r="G20" s="209"/>
      <c r="H20" s="209"/>
      <c r="I20" s="209"/>
      <c r="J20" s="209"/>
      <c r="K20" s="209"/>
    </row>
    <row r="21" spans="1:17" ht="15.95" customHeight="1" x14ac:dyDescent="0.2">
      <c r="B21" s="109" t="s">
        <v>909</v>
      </c>
      <c r="C21" s="109"/>
      <c r="D21" s="109"/>
      <c r="E21" s="109"/>
      <c r="F21" s="109"/>
      <c r="G21" s="109"/>
      <c r="H21" s="109"/>
      <c r="I21" s="109"/>
      <c r="J21" s="109"/>
      <c r="K21" s="109"/>
    </row>
    <row r="22" spans="1:17" x14ac:dyDescent="0.2">
      <c r="B22" s="7"/>
      <c r="C22" s="7"/>
      <c r="D22" s="7"/>
      <c r="E22" s="7"/>
      <c r="F22" s="7"/>
      <c r="G22" s="7"/>
      <c r="H22" s="7"/>
      <c r="I22" s="7"/>
      <c r="J22" s="7"/>
      <c r="K22" s="7"/>
      <c r="M22" s="72">
        <v>18343</v>
      </c>
      <c r="N22" s="72" t="s">
        <v>975</v>
      </c>
      <c r="Q22" s="83"/>
    </row>
    <row r="23" spans="1:17" s="672" customFormat="1" x14ac:dyDescent="0.2">
      <c r="A23" s="692"/>
      <c r="B23" s="693" t="s">
        <v>951</v>
      </c>
      <c r="C23" s="694"/>
      <c r="D23" s="694"/>
      <c r="E23" s="694"/>
      <c r="F23" s="695"/>
      <c r="G23" s="696">
        <f>J23/J24</f>
        <v>16.426339285714285</v>
      </c>
      <c r="H23" s="697" t="s">
        <v>700</v>
      </c>
      <c r="I23" s="672" t="s">
        <v>594</v>
      </c>
      <c r="J23" s="698">
        <f>M24</f>
        <v>19624</v>
      </c>
      <c r="K23" s="672" t="s">
        <v>595</v>
      </c>
      <c r="L23" s="699"/>
      <c r="M23" s="699">
        <v>1281</v>
      </c>
      <c r="N23" s="699" t="s">
        <v>945</v>
      </c>
      <c r="O23" s="699"/>
      <c r="P23" s="699"/>
      <c r="Q23" s="700"/>
    </row>
    <row r="24" spans="1:17" s="672" customFormat="1" x14ac:dyDescent="0.2">
      <c r="I24" s="701" t="s">
        <v>596</v>
      </c>
      <c r="J24" s="698">
        <f>M8</f>
        <v>1194.6666666666667</v>
      </c>
      <c r="K24" s="672" t="s">
        <v>144</v>
      </c>
      <c r="L24" s="702"/>
      <c r="M24" s="290">
        <f>SUM(M22:M23)</f>
        <v>19624</v>
      </c>
      <c r="N24" s="699"/>
      <c r="O24" s="699"/>
      <c r="P24" s="290"/>
      <c r="Q24" s="700"/>
    </row>
    <row r="25" spans="1:17" x14ac:dyDescent="0.2">
      <c r="A25" s="6"/>
      <c r="B25" s="703"/>
      <c r="C25" s="703"/>
      <c r="D25" s="703"/>
      <c r="E25" s="703"/>
      <c r="F25" s="703"/>
      <c r="G25" s="703"/>
      <c r="H25" s="703"/>
      <c r="I25" s="703"/>
      <c r="J25" s="703"/>
      <c r="K25" s="703"/>
    </row>
    <row r="26" spans="1:17" ht="42" customHeight="1" x14ac:dyDescent="0.2">
      <c r="B26" s="704" t="s">
        <v>910</v>
      </c>
      <c r="C26" s="704"/>
      <c r="D26" s="704"/>
      <c r="E26" s="704"/>
      <c r="F26" s="704"/>
      <c r="G26" s="704"/>
      <c r="H26" s="704"/>
      <c r="I26" s="704"/>
      <c r="J26" s="704"/>
      <c r="K26" s="704"/>
    </row>
    <row r="27" spans="1:17" s="299" customFormat="1" x14ac:dyDescent="0.2">
      <c r="B27" s="705"/>
      <c r="C27" s="706"/>
      <c r="D27" s="707"/>
      <c r="E27" s="707"/>
      <c r="F27" s="707"/>
      <c r="G27" s="707"/>
      <c r="H27" s="707"/>
      <c r="I27" s="708"/>
      <c r="J27" s="705" t="s">
        <v>586</v>
      </c>
      <c r="K27" s="705" t="s">
        <v>587</v>
      </c>
      <c r="L27" s="709"/>
      <c r="M27" s="710"/>
      <c r="N27" s="711"/>
      <c r="O27" s="711"/>
      <c r="P27" s="711"/>
    </row>
    <row r="28" spans="1:17" s="292" customFormat="1" ht="55.5" customHeight="1" x14ac:dyDescent="0.2">
      <c r="B28" s="712"/>
      <c r="C28" s="704" t="s">
        <v>579</v>
      </c>
      <c r="D28" s="704"/>
      <c r="E28" s="704"/>
      <c r="F28" s="704"/>
      <c r="G28" s="704"/>
      <c r="H28" s="704"/>
      <c r="I28" s="704"/>
      <c r="J28" s="713" t="s">
        <v>588</v>
      </c>
      <c r="K28" s="713" t="s">
        <v>589</v>
      </c>
      <c r="L28" s="290"/>
      <c r="M28" s="290"/>
      <c r="N28" s="290"/>
      <c r="O28" s="290"/>
      <c r="P28" s="290"/>
    </row>
    <row r="29" spans="1:17" s="292" customFormat="1" ht="46.5" customHeight="1" x14ac:dyDescent="0.2">
      <c r="B29" s="712"/>
      <c r="C29" s="704" t="s">
        <v>580</v>
      </c>
      <c r="D29" s="704"/>
      <c r="E29" s="704"/>
      <c r="F29" s="704"/>
      <c r="G29" s="704"/>
      <c r="H29" s="704"/>
      <c r="I29" s="704"/>
      <c r="J29" s="713" t="s">
        <v>588</v>
      </c>
      <c r="K29" s="713" t="s">
        <v>319</v>
      </c>
      <c r="L29" s="290"/>
      <c r="M29" s="290"/>
      <c r="N29" s="290"/>
      <c r="O29" s="290"/>
      <c r="P29" s="290"/>
    </row>
    <row r="30" spans="1:17" s="292" customFormat="1" ht="24.75" customHeight="1" x14ac:dyDescent="0.2">
      <c r="B30" s="712"/>
      <c r="C30" s="704" t="s">
        <v>581</v>
      </c>
      <c r="D30" s="704"/>
      <c r="E30" s="704"/>
      <c r="F30" s="704"/>
      <c r="G30" s="704"/>
      <c r="H30" s="704"/>
      <c r="I30" s="704"/>
      <c r="J30" s="713" t="s">
        <v>588</v>
      </c>
      <c r="K30" s="713" t="s">
        <v>590</v>
      </c>
      <c r="L30" s="290"/>
      <c r="M30" s="290"/>
      <c r="N30" s="290"/>
      <c r="O30" s="290"/>
      <c r="P30" s="290"/>
    </row>
    <row r="31" spans="1:17" s="292" customFormat="1" ht="25.5" customHeight="1" x14ac:dyDescent="0.2">
      <c r="B31" s="712"/>
      <c r="C31" s="704" t="s">
        <v>582</v>
      </c>
      <c r="D31" s="704"/>
      <c r="E31" s="704"/>
      <c r="F31" s="704"/>
      <c r="G31" s="704"/>
      <c r="H31" s="704"/>
      <c r="I31" s="704"/>
      <c r="J31" s="713" t="s">
        <v>588</v>
      </c>
      <c r="K31" s="713" t="s">
        <v>588</v>
      </c>
      <c r="L31" s="290"/>
      <c r="M31" s="290"/>
      <c r="N31" s="290"/>
      <c r="O31" s="290"/>
      <c r="P31" s="290"/>
    </row>
    <row r="32" spans="1:17" s="292" customFormat="1" x14ac:dyDescent="0.2">
      <c r="B32" s="712"/>
      <c r="C32" s="704" t="s">
        <v>583</v>
      </c>
      <c r="D32" s="704"/>
      <c r="E32" s="704"/>
      <c r="F32" s="704"/>
      <c r="G32" s="704"/>
      <c r="H32" s="704"/>
      <c r="I32" s="704"/>
      <c r="J32" s="713" t="s">
        <v>590</v>
      </c>
      <c r="K32" s="713" t="s">
        <v>588</v>
      </c>
      <c r="L32" s="290"/>
      <c r="M32" s="290"/>
      <c r="N32" s="290"/>
      <c r="O32" s="290"/>
      <c r="P32" s="290"/>
    </row>
    <row r="33" spans="1:17" s="292" customFormat="1" x14ac:dyDescent="0.2">
      <c r="B33" s="712"/>
      <c r="C33" s="704" t="s">
        <v>584</v>
      </c>
      <c r="D33" s="704"/>
      <c r="E33" s="704"/>
      <c r="F33" s="704"/>
      <c r="G33" s="704"/>
      <c r="H33" s="704"/>
      <c r="I33" s="704"/>
      <c r="J33" s="713" t="s">
        <v>588</v>
      </c>
      <c r="K33" s="713" t="s">
        <v>588</v>
      </c>
      <c r="L33" s="290"/>
      <c r="M33" s="290"/>
      <c r="N33" s="290"/>
      <c r="O33" s="290"/>
      <c r="P33" s="290"/>
    </row>
    <row r="34" spans="1:17" s="292" customFormat="1" x14ac:dyDescent="0.2">
      <c r="B34" s="712"/>
      <c r="C34" s="704" t="s">
        <v>585</v>
      </c>
      <c r="D34" s="704"/>
      <c r="E34" s="704"/>
      <c r="F34" s="704"/>
      <c r="G34" s="704"/>
      <c r="H34" s="704"/>
      <c r="I34" s="704"/>
      <c r="J34" s="713" t="s">
        <v>588</v>
      </c>
      <c r="K34" s="713" t="s">
        <v>590</v>
      </c>
      <c r="L34" s="290"/>
      <c r="M34" s="290"/>
      <c r="N34" s="290"/>
      <c r="O34" s="290"/>
      <c r="P34" s="290"/>
    </row>
    <row r="35" spans="1:17" ht="12.75" customHeight="1" x14ac:dyDescent="0.2">
      <c r="B35" s="475"/>
      <c r="C35" s="475"/>
      <c r="D35" s="475"/>
      <c r="E35" s="475"/>
      <c r="F35" s="475"/>
      <c r="G35" s="475"/>
      <c r="H35" s="475"/>
      <c r="I35" s="475"/>
      <c r="J35" s="475"/>
      <c r="K35" s="475"/>
      <c r="Q35" s="714"/>
    </row>
    <row r="36" spans="1:17" ht="25.5" customHeight="1" x14ac:dyDescent="0.2">
      <c r="B36" s="715" t="s">
        <v>591</v>
      </c>
      <c r="C36" s="716"/>
      <c r="D36" s="716"/>
      <c r="E36" s="716"/>
      <c r="F36" s="716"/>
      <c r="G36" s="716"/>
      <c r="H36" s="716"/>
      <c r="I36" s="716"/>
      <c r="J36" s="716"/>
      <c r="K36" s="716"/>
    </row>
    <row r="37" spans="1:17" ht="49.5" customHeight="1" x14ac:dyDescent="0.2">
      <c r="B37" s="715" t="s">
        <v>592</v>
      </c>
      <c r="C37" s="716"/>
      <c r="D37" s="716"/>
      <c r="E37" s="716"/>
      <c r="F37" s="716"/>
      <c r="G37" s="716"/>
      <c r="H37" s="716"/>
      <c r="I37" s="716"/>
      <c r="J37" s="716"/>
      <c r="K37" s="716"/>
    </row>
    <row r="38" spans="1:17" ht="25.5" customHeight="1" x14ac:dyDescent="0.2">
      <c r="B38" s="715" t="s">
        <v>556</v>
      </c>
      <c r="C38" s="715"/>
      <c r="D38" s="715"/>
      <c r="E38" s="715"/>
      <c r="F38" s="715"/>
      <c r="G38" s="715"/>
      <c r="H38" s="715"/>
      <c r="I38" s="715"/>
      <c r="J38" s="715"/>
      <c r="K38" s="715"/>
    </row>
    <row r="39" spans="1:17" ht="64.5" customHeight="1" x14ac:dyDescent="0.2">
      <c r="B39" s="715" t="s">
        <v>97</v>
      </c>
      <c r="C39" s="716"/>
      <c r="D39" s="716"/>
      <c r="E39" s="716"/>
      <c r="F39" s="716"/>
      <c r="G39" s="716"/>
      <c r="H39" s="716"/>
      <c r="I39" s="716"/>
      <c r="J39" s="716"/>
      <c r="K39" s="716"/>
    </row>
    <row r="40" spans="1:17" ht="12.75" customHeight="1" x14ac:dyDescent="0.2">
      <c r="B40" s="715" t="s">
        <v>507</v>
      </c>
      <c r="C40" s="716"/>
      <c r="D40" s="716"/>
      <c r="E40" s="716"/>
      <c r="F40" s="716"/>
      <c r="G40" s="716"/>
      <c r="H40" s="716"/>
      <c r="I40" s="716"/>
      <c r="J40" s="716"/>
      <c r="K40" s="716"/>
    </row>
    <row r="41" spans="1:17" ht="18" customHeight="1" x14ac:dyDescent="0.2">
      <c r="B41" s="717"/>
      <c r="C41" s="718"/>
      <c r="D41" s="718"/>
      <c r="E41" s="718"/>
      <c r="F41" s="718"/>
      <c r="G41" s="718"/>
      <c r="H41" s="718"/>
      <c r="I41" s="718"/>
      <c r="J41" s="718"/>
      <c r="K41" s="718"/>
    </row>
    <row r="42" spans="1:17" ht="16.5" customHeight="1" x14ac:dyDescent="0.2">
      <c r="A42" s="6" t="s">
        <v>130</v>
      </c>
      <c r="B42" s="673" t="s">
        <v>118</v>
      </c>
      <c r="C42" s="429"/>
      <c r="D42" s="429"/>
      <c r="E42" s="429"/>
      <c r="F42" s="429"/>
      <c r="G42" s="429"/>
      <c r="H42" s="429"/>
      <c r="I42" s="429"/>
      <c r="J42" s="429"/>
      <c r="K42" s="429"/>
    </row>
    <row r="43" spans="1:17" ht="27" customHeight="1" x14ac:dyDescent="0.2">
      <c r="A43" s="6"/>
      <c r="B43" s="216" t="s">
        <v>952</v>
      </c>
      <c r="C43" s="4"/>
      <c r="D43" s="4"/>
      <c r="E43" s="4"/>
      <c r="F43" s="4"/>
      <c r="G43" s="4"/>
      <c r="H43" s="4"/>
      <c r="I43" s="4"/>
      <c r="J43" s="4"/>
      <c r="K43" s="4"/>
    </row>
    <row r="44" spans="1:17" ht="27" customHeight="1" x14ac:dyDescent="0.2">
      <c r="A44" s="6"/>
      <c r="B44" s="547" t="s">
        <v>911</v>
      </c>
      <c r="C44" s="28"/>
      <c r="D44" s="28"/>
      <c r="E44" s="28"/>
      <c r="F44" s="28"/>
      <c r="G44" s="28"/>
      <c r="H44" s="28"/>
      <c r="I44" s="28"/>
      <c r="J44" s="28"/>
      <c r="K44" s="28"/>
    </row>
    <row r="45" spans="1:17" ht="19.5" customHeight="1" x14ac:dyDescent="0.2">
      <c r="A45" s="6" t="s">
        <v>130</v>
      </c>
      <c r="B45" s="719" t="s">
        <v>298</v>
      </c>
      <c r="C45" s="720"/>
      <c r="D45" s="720"/>
      <c r="E45" s="720"/>
      <c r="F45" s="720"/>
      <c r="G45" s="720"/>
      <c r="H45" s="720"/>
      <c r="I45" s="720"/>
      <c r="J45" s="720"/>
      <c r="K45" s="720"/>
    </row>
    <row r="46" spans="1:17" x14ac:dyDescent="0.2"/>
    <row r="47" spans="1:17" x14ac:dyDescent="0.2">
      <c r="A47" s="6" t="s">
        <v>130</v>
      </c>
      <c r="B47" s="721" t="s">
        <v>299</v>
      </c>
      <c r="C47" s="721"/>
      <c r="D47" s="721"/>
      <c r="E47" s="721"/>
      <c r="F47" s="721"/>
      <c r="G47" s="721"/>
      <c r="H47" s="721"/>
      <c r="I47" s="721"/>
      <c r="J47" s="721"/>
      <c r="K47" s="721"/>
    </row>
    <row r="48" spans="1:17" x14ac:dyDescent="0.2">
      <c r="A48" s="6" t="s">
        <v>130</v>
      </c>
      <c r="B48" s="722" t="s">
        <v>119</v>
      </c>
      <c r="C48" s="722"/>
      <c r="D48" s="723" t="s">
        <v>120</v>
      </c>
      <c r="E48" s="723" t="s">
        <v>121</v>
      </c>
      <c r="F48" s="723" t="s">
        <v>122</v>
      </c>
      <c r="G48" s="723" t="s">
        <v>123</v>
      </c>
      <c r="H48" s="723" t="s">
        <v>124</v>
      </c>
      <c r="I48" s="723" t="s">
        <v>125</v>
      </c>
      <c r="J48" s="723" t="s">
        <v>126</v>
      </c>
      <c r="K48" s="723" t="s">
        <v>197</v>
      </c>
    </row>
    <row r="49" spans="1:11" x14ac:dyDescent="0.2">
      <c r="A49" s="6" t="s">
        <v>130</v>
      </c>
      <c r="B49" s="722"/>
      <c r="C49" s="722"/>
      <c r="D49" s="225">
        <v>482</v>
      </c>
      <c r="E49" s="225">
        <v>941</v>
      </c>
      <c r="F49" s="225">
        <v>743</v>
      </c>
      <c r="G49" s="225">
        <v>303</v>
      </c>
      <c r="H49" s="225">
        <v>201</v>
      </c>
      <c r="I49" s="225">
        <v>324</v>
      </c>
      <c r="J49" s="225">
        <v>117</v>
      </c>
      <c r="K49" s="225">
        <f>SUM(D49:J49)</f>
        <v>3111</v>
      </c>
    </row>
    <row r="50" spans="1:11" x14ac:dyDescent="0.2">
      <c r="B50" s="724"/>
      <c r="C50" s="724"/>
    </row>
    <row r="51" spans="1:11" x14ac:dyDescent="0.2">
      <c r="A51" s="6" t="s">
        <v>130</v>
      </c>
      <c r="B51" s="722" t="s">
        <v>127</v>
      </c>
      <c r="C51" s="722"/>
      <c r="D51" s="723" t="s">
        <v>120</v>
      </c>
      <c r="E51" s="723" t="s">
        <v>121</v>
      </c>
      <c r="F51" s="723" t="s">
        <v>122</v>
      </c>
      <c r="G51" s="723" t="s">
        <v>123</v>
      </c>
      <c r="H51" s="723" t="s">
        <v>124</v>
      </c>
      <c r="I51" s="723" t="s">
        <v>125</v>
      </c>
      <c r="J51" s="723" t="s">
        <v>126</v>
      </c>
      <c r="K51" s="723" t="s">
        <v>197</v>
      </c>
    </row>
    <row r="52" spans="1:11" x14ac:dyDescent="0.2">
      <c r="A52" s="6" t="s">
        <v>130</v>
      </c>
      <c r="B52" s="722"/>
      <c r="C52" s="722"/>
      <c r="D52" s="225">
        <v>262</v>
      </c>
      <c r="E52" s="225">
        <v>215</v>
      </c>
      <c r="F52" s="225">
        <v>126</v>
      </c>
      <c r="G52" s="225">
        <v>97</v>
      </c>
      <c r="H52" s="225">
        <v>20</v>
      </c>
      <c r="I52" s="225">
        <v>14</v>
      </c>
      <c r="J52" s="225">
        <v>6</v>
      </c>
      <c r="K52" s="225">
        <f>SUM(D52:J52)</f>
        <v>740</v>
      </c>
    </row>
    <row r="53" spans="1:11" x14ac:dyDescent="0.2">
      <c r="A53" s="6"/>
      <c r="B53" s="235"/>
      <c r="C53" s="235"/>
      <c r="D53" s="176"/>
      <c r="E53" s="176"/>
      <c r="F53" s="176"/>
      <c r="G53" s="176"/>
      <c r="H53" s="176"/>
      <c r="I53" s="176"/>
      <c r="J53" s="176"/>
      <c r="K53" s="176"/>
    </row>
    <row r="54" spans="1:11" ht="115.5" customHeight="1" x14ac:dyDescent="0.2">
      <c r="A54" s="6"/>
      <c r="B54" s="725" t="s">
        <v>533</v>
      </c>
      <c r="C54" s="4"/>
      <c r="D54" s="4"/>
      <c r="E54" s="4"/>
      <c r="F54" s="4"/>
      <c r="G54" s="4"/>
      <c r="H54" s="4"/>
      <c r="I54" s="4"/>
      <c r="J54" s="4"/>
      <c r="K54" s="4"/>
    </row>
    <row r="55" spans="1:11" ht="93" customHeight="1" x14ac:dyDescent="0.2">
      <c r="A55" s="6"/>
      <c r="B55" s="725" t="s">
        <v>534</v>
      </c>
      <c r="C55" s="216"/>
      <c r="D55" s="216"/>
      <c r="E55" s="216"/>
      <c r="F55" s="216"/>
      <c r="G55" s="216"/>
      <c r="H55" s="216"/>
      <c r="I55" s="216"/>
      <c r="J55" s="216"/>
      <c r="K55" s="216"/>
    </row>
    <row r="56" spans="1:11" ht="68.25" customHeight="1" x14ac:dyDescent="0.2">
      <c r="A56" s="6"/>
      <c r="B56" s="216" t="s">
        <v>953</v>
      </c>
      <c r="C56" s="4"/>
      <c r="D56" s="4"/>
      <c r="E56" s="4"/>
      <c r="F56" s="4"/>
      <c r="G56" s="4"/>
      <c r="H56" s="4"/>
      <c r="I56" s="4"/>
      <c r="J56" s="4"/>
      <c r="K56" s="4"/>
    </row>
    <row r="57" spans="1:11" ht="12.75" customHeight="1" x14ac:dyDescent="0.2">
      <c r="B57" s="716"/>
      <c r="C57" s="716"/>
      <c r="D57" s="716"/>
      <c r="E57" s="716"/>
      <c r="F57" s="716"/>
      <c r="G57" s="716"/>
      <c r="H57" s="716"/>
      <c r="I57" s="716"/>
      <c r="J57" s="716"/>
      <c r="K57" s="716"/>
    </row>
    <row r="58" spans="1:11" x14ac:dyDescent="0.2"/>
    <row r="59" spans="1:11" x14ac:dyDescent="0.2"/>
    <row r="60" spans="1:11" x14ac:dyDescent="0.2"/>
    <row r="61" spans="1:11" x14ac:dyDescent="0.2"/>
    <row r="62" spans="1:11" x14ac:dyDescent="0.2"/>
    <row r="63" spans="1:11" x14ac:dyDescent="0.2"/>
    <row r="64" spans="1:11" x14ac:dyDescent="0.2"/>
    <row r="65" x14ac:dyDescent="0.2"/>
    <row r="66" x14ac:dyDescent="0.2"/>
    <row r="67" x14ac:dyDescent="0.2"/>
    <row r="68" x14ac:dyDescent="0.2"/>
    <row r="69" x14ac:dyDescent="0.2"/>
    <row r="70" x14ac:dyDescent="0.2"/>
    <row r="71" x14ac:dyDescent="0.2"/>
    <row r="72" x14ac:dyDescent="0.2"/>
    <row r="73" x14ac:dyDescent="0.2"/>
    <row r="74" x14ac:dyDescent="0.2"/>
    <row r="75" x14ac:dyDescent="0.2"/>
    <row r="76" x14ac:dyDescent="0.2"/>
    <row r="77" x14ac:dyDescent="0.2"/>
    <row r="78" x14ac:dyDescent="0.2"/>
    <row r="79" x14ac:dyDescent="0.2"/>
    <row r="80" x14ac:dyDescent="0.2"/>
    <row r="81" x14ac:dyDescent="0.2"/>
    <row r="82" x14ac:dyDescent="0.2"/>
    <row r="83" x14ac:dyDescent="0.2"/>
    <row r="84" x14ac:dyDescent="0.2"/>
    <row r="85" x14ac:dyDescent="0.2"/>
    <row r="86" x14ac:dyDescent="0.2"/>
    <row r="87" x14ac:dyDescent="0.2"/>
    <row r="88" x14ac:dyDescent="0.2"/>
    <row r="89" x14ac:dyDescent="0.2"/>
    <row r="90" x14ac:dyDescent="0.2"/>
    <row r="91" x14ac:dyDescent="0.2"/>
    <row r="92" x14ac:dyDescent="0.2"/>
    <row r="93" x14ac:dyDescent="0.2"/>
    <row r="94" x14ac:dyDescent="0.2"/>
    <row r="95" x14ac:dyDescent="0.2"/>
    <row r="96" x14ac:dyDescent="0.2"/>
    <row r="97" x14ac:dyDescent="0.2"/>
    <row r="98" x14ac:dyDescent="0.2"/>
    <row r="99" x14ac:dyDescent="0.2"/>
    <row r="100" x14ac:dyDescent="0.2"/>
    <row r="101" x14ac:dyDescent="0.2"/>
  </sheetData>
  <sheetProtection algorithmName="SHA-512" hashValue="7LL/1ArXoseNs8r3MTYsdS/esZZOFnhTUPIvo9bEj85s/ZhaythofM+rRdtW2sPPI+B4AB2vNGrHwBmOyC4ZMA==" saltValue="Uk5vT2cUKn06U5F1N6Ko/w==" spinCount="100000" sheet="1" objects="1" scenarios="1"/>
  <mergeCells count="43">
    <mergeCell ref="A1:K1"/>
    <mergeCell ref="B26:K26"/>
    <mergeCell ref="B5:H5"/>
    <mergeCell ref="C6:H6"/>
    <mergeCell ref="C11:H11"/>
    <mergeCell ref="C12:H12"/>
    <mergeCell ref="C13:H13"/>
    <mergeCell ref="B3:K3"/>
    <mergeCell ref="B17:K17"/>
    <mergeCell ref="B18:K18"/>
    <mergeCell ref="C10:H10"/>
    <mergeCell ref="C7:H7"/>
    <mergeCell ref="C8:H8"/>
    <mergeCell ref="C9:H9"/>
    <mergeCell ref="C14:H14"/>
    <mergeCell ref="B36:K36"/>
    <mergeCell ref="B37:K37"/>
    <mergeCell ref="B38:K38"/>
    <mergeCell ref="C15:H15"/>
    <mergeCell ref="C31:I31"/>
    <mergeCell ref="C32:I32"/>
    <mergeCell ref="C33:I33"/>
    <mergeCell ref="C34:I34"/>
    <mergeCell ref="C28:I28"/>
    <mergeCell ref="C30:I30"/>
    <mergeCell ref="B23:F23"/>
    <mergeCell ref="B21:K21"/>
    <mergeCell ref="B20:K20"/>
    <mergeCell ref="C29:I29"/>
    <mergeCell ref="B57:K57"/>
    <mergeCell ref="B56:K56"/>
    <mergeCell ref="B55:K55"/>
    <mergeCell ref="B43:K43"/>
    <mergeCell ref="B39:K39"/>
    <mergeCell ref="B50:C50"/>
    <mergeCell ref="B51:C52"/>
    <mergeCell ref="B47:K47"/>
    <mergeCell ref="B42:K42"/>
    <mergeCell ref="B45:K45"/>
    <mergeCell ref="B40:K40"/>
    <mergeCell ref="B44:K44"/>
    <mergeCell ref="B54:K54"/>
    <mergeCell ref="B48:C49"/>
  </mergeCells>
  <phoneticPr fontId="0" type="noConversion"/>
  <printOptions horizontalCentered="1"/>
  <pageMargins left="0.75" right="0.75" top="1.5" bottom="0.5" header="0.25" footer="0.5"/>
  <pageSetup orientation="portrait" r:id="rId1"/>
  <headerFooter alignWithMargins="0">
    <oddHeader>&amp;C&amp;"Arial,Bold"&amp;14&amp;K05-043Mississippi State University
&amp;11Office of Institutional Research and Effectiveness
Common Data Set 2022-23</oddHeader>
    <oddFooter>&amp;L&amp;9&amp;K05-049Updated: &amp;D&amp;C&amp;9&amp;K05-049&amp;A&amp;R&amp;9&amp;K05-049Page &amp;P</oddFooter>
  </headerFooter>
  <rowBreaks count="2" manualBreakCount="2">
    <brk id="25" max="10" man="1"/>
    <brk id="41" max="16383" man="1"/>
  </row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dimension ref="A1:J48"/>
  <sheetViews>
    <sheetView showRuler="0" zoomScale="110" zoomScaleNormal="110" workbookViewId="0">
      <selection sqref="A1:F1"/>
    </sheetView>
  </sheetViews>
  <sheetFormatPr defaultColWidth="12.85546875" defaultRowHeight="12.75" zeroHeight="1" x14ac:dyDescent="0.2"/>
  <cols>
    <col min="1" max="1" width="3.85546875" style="3" customWidth="1"/>
    <col min="2" max="2" width="69.140625" style="2" customWidth="1"/>
    <col min="3" max="3" width="20.140625" style="2" hidden="1" customWidth="1"/>
    <col min="4" max="4" width="13" style="2" hidden="1" customWidth="1"/>
    <col min="5" max="5" width="15.42578125" style="2" customWidth="1"/>
    <col min="6" max="6" width="19.28515625" style="2" bestFit="1" customWidth="1"/>
    <col min="7" max="7" width="12.85546875" style="72"/>
    <col min="8" max="8" width="12.85546875" style="83"/>
    <col min="9" max="16384" width="12.85546875" style="2"/>
  </cols>
  <sheetData>
    <row r="1" spans="1:10" ht="18" x14ac:dyDescent="0.2">
      <c r="A1" s="682" t="s">
        <v>388</v>
      </c>
      <c r="B1" s="682"/>
      <c r="C1" s="682"/>
      <c r="D1" s="682"/>
      <c r="E1" s="682"/>
      <c r="F1" s="682"/>
    </row>
    <row r="2" spans="1:10" x14ac:dyDescent="0.2"/>
    <row r="3" spans="1:10" x14ac:dyDescent="0.2">
      <c r="A3" s="142" t="s">
        <v>389</v>
      </c>
      <c r="B3" s="697" t="s">
        <v>948</v>
      </c>
    </row>
    <row r="4" spans="1:10" s="241" customFormat="1" ht="27.95" customHeight="1" x14ac:dyDescent="0.2">
      <c r="A4" s="285"/>
      <c r="B4" s="28" t="s">
        <v>916</v>
      </c>
      <c r="C4" s="216"/>
      <c r="D4" s="216"/>
      <c r="E4" s="216"/>
      <c r="F4" s="216"/>
      <c r="G4" s="699"/>
      <c r="H4" s="700"/>
    </row>
    <row r="5" spans="1:10" ht="38.1" customHeight="1" x14ac:dyDescent="0.2">
      <c r="A5" s="6"/>
      <c r="B5" s="209" t="s">
        <v>915</v>
      </c>
      <c r="C5" s="209"/>
      <c r="D5" s="209"/>
      <c r="E5" s="209"/>
      <c r="F5" s="209"/>
      <c r="G5" s="135"/>
      <c r="H5" s="726"/>
      <c r="I5" s="210"/>
      <c r="J5" s="210"/>
    </row>
    <row r="6" spans="1:10" ht="54" customHeight="1" thickBot="1" x14ac:dyDescent="0.25">
      <c r="A6" s="6"/>
      <c r="B6" s="727" t="s">
        <v>942</v>
      </c>
      <c r="C6" s="727"/>
      <c r="D6" s="727"/>
      <c r="E6" s="727"/>
      <c r="F6" s="727"/>
      <c r="G6" s="135"/>
      <c r="H6" s="726"/>
      <c r="I6" s="210"/>
      <c r="J6" s="210"/>
    </row>
    <row r="7" spans="1:10" ht="30" x14ac:dyDescent="0.2">
      <c r="A7" s="142"/>
      <c r="B7" s="728" t="s">
        <v>390</v>
      </c>
      <c r="C7" s="729" t="s">
        <v>391</v>
      </c>
      <c r="D7" s="730" t="s">
        <v>169</v>
      </c>
      <c r="E7" s="731" t="s">
        <v>392</v>
      </c>
      <c r="F7" s="732" t="s">
        <v>917</v>
      </c>
      <c r="G7" s="733" t="s">
        <v>922</v>
      </c>
    </row>
    <row r="8" spans="1:10" ht="15" x14ac:dyDescent="0.2">
      <c r="A8" s="142"/>
      <c r="B8" s="734" t="s">
        <v>393</v>
      </c>
      <c r="C8" s="735"/>
      <c r="D8" s="736"/>
      <c r="E8" s="737">
        <f>G8/$G$46</f>
        <v>5.7441860465116276E-2</v>
      </c>
      <c r="F8" s="738" t="s">
        <v>918</v>
      </c>
      <c r="G8" s="72">
        <v>247</v>
      </c>
    </row>
    <row r="9" spans="1:10" ht="15" x14ac:dyDescent="0.2">
      <c r="A9" s="142"/>
      <c r="B9" s="739" t="s">
        <v>640</v>
      </c>
      <c r="C9" s="735"/>
      <c r="D9" s="736"/>
      <c r="E9" s="737">
        <f>G9/$G$46</f>
        <v>2.6976744186046512E-2</v>
      </c>
      <c r="F9" s="738" t="s">
        <v>919</v>
      </c>
      <c r="G9" s="72">
        <v>116</v>
      </c>
    </row>
    <row r="10" spans="1:10" ht="15" x14ac:dyDescent="0.2">
      <c r="A10" s="142"/>
      <c r="B10" s="734" t="s">
        <v>394</v>
      </c>
      <c r="C10" s="735"/>
      <c r="D10" s="736"/>
      <c r="E10" s="737">
        <f t="shared" ref="E10:E45" si="0">G10/$G$46</f>
        <v>1.2790697674418604E-2</v>
      </c>
      <c r="F10" s="738" t="s">
        <v>920</v>
      </c>
      <c r="G10" s="72">
        <v>55</v>
      </c>
    </row>
    <row r="11" spans="1:10" ht="15" hidden="1" x14ac:dyDescent="0.2">
      <c r="A11" s="142"/>
      <c r="B11" s="739" t="s">
        <v>641</v>
      </c>
      <c r="C11" s="735"/>
      <c r="D11" s="736"/>
      <c r="E11" s="737">
        <f t="shared" si="0"/>
        <v>0</v>
      </c>
      <c r="F11" s="738">
        <v>5</v>
      </c>
    </row>
    <row r="12" spans="1:10" ht="15" x14ac:dyDescent="0.2">
      <c r="A12" s="142"/>
      <c r="B12" s="734" t="s">
        <v>502</v>
      </c>
      <c r="C12" s="735"/>
      <c r="D12" s="736"/>
      <c r="E12" s="737">
        <f t="shared" si="0"/>
        <v>3.8372093023255817E-2</v>
      </c>
      <c r="F12" s="738" t="s">
        <v>921</v>
      </c>
      <c r="G12" s="72">
        <v>165</v>
      </c>
    </row>
    <row r="13" spans="1:10" ht="15" hidden="1" x14ac:dyDescent="0.2">
      <c r="A13" s="142"/>
      <c r="B13" s="734" t="s">
        <v>454</v>
      </c>
      <c r="C13" s="735"/>
      <c r="D13" s="736"/>
      <c r="E13" s="737">
        <f t="shared" si="0"/>
        <v>0</v>
      </c>
      <c r="F13" s="738">
        <v>10</v>
      </c>
    </row>
    <row r="14" spans="1:10" ht="15" x14ac:dyDescent="0.2">
      <c r="A14" s="142"/>
      <c r="B14" s="734" t="s">
        <v>397</v>
      </c>
      <c r="C14" s="735"/>
      <c r="D14" s="736"/>
      <c r="E14" s="737">
        <f t="shared" si="0"/>
        <v>1.9302325581395347E-2</v>
      </c>
      <c r="F14" s="738">
        <v>11</v>
      </c>
      <c r="G14" s="72">
        <v>83</v>
      </c>
    </row>
    <row r="15" spans="1:10" ht="15" x14ac:dyDescent="0.2">
      <c r="A15" s="142"/>
      <c r="B15" s="734" t="s">
        <v>455</v>
      </c>
      <c r="C15" s="735"/>
      <c r="D15" s="736"/>
      <c r="E15" s="740">
        <f t="shared" si="0"/>
        <v>1.1627906976744186E-3</v>
      </c>
      <c r="F15" s="738">
        <v>12</v>
      </c>
      <c r="G15" s="72">
        <v>5</v>
      </c>
    </row>
    <row r="16" spans="1:10" ht="15" x14ac:dyDescent="0.2">
      <c r="A16" s="142"/>
      <c r="B16" s="734" t="s">
        <v>398</v>
      </c>
      <c r="C16" s="735"/>
      <c r="D16" s="736"/>
      <c r="E16" s="737">
        <f t="shared" si="0"/>
        <v>8.2093023255813954E-2</v>
      </c>
      <c r="F16" s="738">
        <v>13</v>
      </c>
      <c r="G16" s="72">
        <v>353</v>
      </c>
    </row>
    <row r="17" spans="1:7" ht="15" x14ac:dyDescent="0.2">
      <c r="A17" s="142"/>
      <c r="B17" s="734" t="s">
        <v>456</v>
      </c>
      <c r="C17" s="735"/>
      <c r="D17" s="736"/>
      <c r="E17" s="737">
        <f t="shared" si="0"/>
        <v>0.16255813953488371</v>
      </c>
      <c r="F17" s="738">
        <v>14</v>
      </c>
      <c r="G17" s="72">
        <v>699</v>
      </c>
    </row>
    <row r="18" spans="1:7" ht="15" x14ac:dyDescent="0.2">
      <c r="A18" s="142"/>
      <c r="B18" s="734" t="s">
        <v>457</v>
      </c>
      <c r="C18" s="735"/>
      <c r="D18" s="736"/>
      <c r="E18" s="737">
        <f t="shared" si="0"/>
        <v>1.7906976744186048E-2</v>
      </c>
      <c r="F18" s="738">
        <v>15</v>
      </c>
      <c r="G18" s="72">
        <v>77</v>
      </c>
    </row>
    <row r="19" spans="1:7" ht="15" x14ac:dyDescent="0.2">
      <c r="A19" s="142"/>
      <c r="B19" s="739" t="s">
        <v>642</v>
      </c>
      <c r="C19" s="735"/>
      <c r="D19" s="736"/>
      <c r="E19" s="737">
        <f t="shared" si="0"/>
        <v>7.674418604651163E-3</v>
      </c>
      <c r="F19" s="738">
        <v>16</v>
      </c>
      <c r="G19" s="72">
        <v>33</v>
      </c>
    </row>
    <row r="20" spans="1:7" ht="15" x14ac:dyDescent="0.2">
      <c r="A20" s="142"/>
      <c r="B20" s="734" t="s">
        <v>458</v>
      </c>
      <c r="C20" s="735"/>
      <c r="D20" s="736"/>
      <c r="E20" s="737">
        <f t="shared" si="0"/>
        <v>1.8372093023255813E-2</v>
      </c>
      <c r="F20" s="738">
        <v>19</v>
      </c>
      <c r="G20" s="72">
        <v>79</v>
      </c>
    </row>
    <row r="21" spans="1:7" ht="15" hidden="1" x14ac:dyDescent="0.2">
      <c r="A21" s="142"/>
      <c r="B21" s="734" t="s">
        <v>603</v>
      </c>
      <c r="C21" s="735"/>
      <c r="D21" s="736"/>
      <c r="E21" s="737">
        <f t="shared" si="0"/>
        <v>0</v>
      </c>
      <c r="F21" s="738">
        <v>22</v>
      </c>
    </row>
    <row r="22" spans="1:7" ht="15" x14ac:dyDescent="0.2">
      <c r="A22" s="142"/>
      <c r="B22" s="734" t="s">
        <v>610</v>
      </c>
      <c r="C22" s="735"/>
      <c r="D22" s="736"/>
      <c r="E22" s="737">
        <f t="shared" si="0"/>
        <v>5.3488372093023259E-3</v>
      </c>
      <c r="F22" s="738">
        <v>23</v>
      </c>
      <c r="G22" s="72">
        <v>23</v>
      </c>
    </row>
    <row r="23" spans="1:7" ht="15" x14ac:dyDescent="0.2">
      <c r="A23" s="142"/>
      <c r="B23" s="734" t="s">
        <v>604</v>
      </c>
      <c r="C23" s="735"/>
      <c r="D23" s="736"/>
      <c r="E23" s="737">
        <f t="shared" si="0"/>
        <v>1.3488372093023256E-2</v>
      </c>
      <c r="F23" s="738">
        <v>24</v>
      </c>
      <c r="G23" s="72">
        <v>58</v>
      </c>
    </row>
    <row r="24" spans="1:7" ht="15" hidden="1" x14ac:dyDescent="0.2">
      <c r="A24" s="142"/>
      <c r="B24" s="734" t="s">
        <v>605</v>
      </c>
      <c r="C24" s="735"/>
      <c r="D24" s="736"/>
      <c r="E24" s="737">
        <f t="shared" si="0"/>
        <v>0</v>
      </c>
      <c r="F24" s="738">
        <v>25</v>
      </c>
    </row>
    <row r="25" spans="1:7" ht="15" x14ac:dyDescent="0.2">
      <c r="A25" s="142"/>
      <c r="B25" s="734" t="s">
        <v>395</v>
      </c>
      <c r="C25" s="735"/>
      <c r="D25" s="736"/>
      <c r="E25" s="737">
        <f t="shared" si="0"/>
        <v>6.7674418604651163E-2</v>
      </c>
      <c r="F25" s="738">
        <v>26</v>
      </c>
      <c r="G25" s="72">
        <v>291</v>
      </c>
    </row>
    <row r="26" spans="1:7" ht="15" x14ac:dyDescent="0.2">
      <c r="A26" s="142"/>
      <c r="B26" s="734" t="s">
        <v>101</v>
      </c>
      <c r="C26" s="735"/>
      <c r="D26" s="736"/>
      <c r="E26" s="737">
        <f t="shared" si="0"/>
        <v>8.3720930232558145E-3</v>
      </c>
      <c r="F26" s="738">
        <v>27</v>
      </c>
      <c r="G26" s="72">
        <v>36</v>
      </c>
    </row>
    <row r="27" spans="1:7" ht="15" hidden="1" x14ac:dyDescent="0.2">
      <c r="A27" s="142"/>
      <c r="B27" s="734" t="s">
        <v>102</v>
      </c>
      <c r="C27" s="735"/>
      <c r="D27" s="736"/>
      <c r="E27" s="737">
        <f t="shared" si="0"/>
        <v>0</v>
      </c>
      <c r="F27" s="738" t="s">
        <v>103</v>
      </c>
    </row>
    <row r="28" spans="1:7" ht="15" x14ac:dyDescent="0.2">
      <c r="A28" s="142"/>
      <c r="B28" s="734" t="s">
        <v>399</v>
      </c>
      <c r="C28" s="735"/>
      <c r="D28" s="736"/>
      <c r="E28" s="737">
        <f t="shared" si="0"/>
        <v>5.3023255813953486E-2</v>
      </c>
      <c r="F28" s="738">
        <v>30</v>
      </c>
      <c r="G28" s="72">
        <v>228</v>
      </c>
    </row>
    <row r="29" spans="1:7" ht="15" x14ac:dyDescent="0.2">
      <c r="A29" s="142"/>
      <c r="B29" s="734" t="s">
        <v>256</v>
      </c>
      <c r="C29" s="735"/>
      <c r="D29" s="736"/>
      <c r="E29" s="737">
        <f t="shared" si="0"/>
        <v>5.9069767441860467E-2</v>
      </c>
      <c r="F29" s="738">
        <v>31</v>
      </c>
      <c r="G29" s="72">
        <v>254</v>
      </c>
    </row>
    <row r="30" spans="1:7" ht="15" x14ac:dyDescent="0.2">
      <c r="A30" s="142"/>
      <c r="B30" s="734" t="s">
        <v>459</v>
      </c>
      <c r="C30" s="735"/>
      <c r="D30" s="736"/>
      <c r="E30" s="737">
        <f t="shared" si="0"/>
        <v>1.3953488372093023E-3</v>
      </c>
      <c r="F30" s="738">
        <v>38</v>
      </c>
      <c r="G30" s="72">
        <v>6</v>
      </c>
    </row>
    <row r="31" spans="1:7" ht="15" hidden="1" x14ac:dyDescent="0.2">
      <c r="A31" s="142"/>
      <c r="B31" s="734" t="s">
        <v>460</v>
      </c>
      <c r="C31" s="735"/>
      <c r="D31" s="736"/>
      <c r="E31" s="737">
        <f t="shared" si="0"/>
        <v>0</v>
      </c>
      <c r="F31" s="738">
        <v>39</v>
      </c>
    </row>
    <row r="32" spans="1:7" ht="15" x14ac:dyDescent="0.2">
      <c r="A32" s="142"/>
      <c r="B32" s="734" t="s">
        <v>257</v>
      </c>
      <c r="C32" s="735"/>
      <c r="D32" s="736"/>
      <c r="E32" s="737">
        <f t="shared" si="0"/>
        <v>2.6046511627906978E-2</v>
      </c>
      <c r="F32" s="738">
        <v>40</v>
      </c>
      <c r="G32" s="72">
        <v>112</v>
      </c>
    </row>
    <row r="33" spans="1:7" ht="15" hidden="1" x14ac:dyDescent="0.2">
      <c r="A33" s="142"/>
      <c r="B33" s="734" t="s">
        <v>461</v>
      </c>
      <c r="C33" s="735"/>
      <c r="D33" s="736"/>
      <c r="E33" s="737">
        <f t="shared" si="0"/>
        <v>0</v>
      </c>
      <c r="F33" s="738">
        <v>41</v>
      </c>
    </row>
    <row r="34" spans="1:7" ht="15" x14ac:dyDescent="0.2">
      <c r="A34" s="142"/>
      <c r="B34" s="734" t="s">
        <v>258</v>
      </c>
      <c r="C34" s="735"/>
      <c r="D34" s="736"/>
      <c r="E34" s="737">
        <f t="shared" si="0"/>
        <v>6.1395348837209304E-2</v>
      </c>
      <c r="F34" s="738">
        <v>42</v>
      </c>
      <c r="G34" s="72">
        <v>264</v>
      </c>
    </row>
    <row r="35" spans="1:7" ht="15" hidden="1" x14ac:dyDescent="0.2">
      <c r="A35" s="142"/>
      <c r="B35" s="741" t="s">
        <v>104</v>
      </c>
      <c r="C35" s="735"/>
      <c r="D35" s="736"/>
      <c r="E35" s="737">
        <f t="shared" si="0"/>
        <v>0</v>
      </c>
      <c r="F35" s="738">
        <v>43</v>
      </c>
    </row>
    <row r="36" spans="1:7" ht="15" x14ac:dyDescent="0.2">
      <c r="A36" s="142"/>
      <c r="B36" s="734" t="s">
        <v>462</v>
      </c>
      <c r="C36" s="735"/>
      <c r="D36" s="736"/>
      <c r="E36" s="737">
        <f t="shared" si="0"/>
        <v>8.6046511627906972E-3</v>
      </c>
      <c r="F36" s="738">
        <v>44</v>
      </c>
      <c r="G36" s="72">
        <v>37</v>
      </c>
    </row>
    <row r="37" spans="1:7" ht="15" x14ac:dyDescent="0.2">
      <c r="A37" s="142"/>
      <c r="B37" s="734" t="s">
        <v>463</v>
      </c>
      <c r="C37" s="735"/>
      <c r="D37" s="736"/>
      <c r="E37" s="737">
        <f t="shared" si="0"/>
        <v>3.8139534883720932E-2</v>
      </c>
      <c r="F37" s="738">
        <v>45</v>
      </c>
      <c r="G37" s="72">
        <v>164</v>
      </c>
    </row>
    <row r="38" spans="1:7" ht="15" hidden="1" x14ac:dyDescent="0.2">
      <c r="A38" s="142"/>
      <c r="B38" s="734" t="s">
        <v>464</v>
      </c>
      <c r="C38" s="735"/>
      <c r="D38" s="736"/>
      <c r="E38" s="737">
        <f t="shared" si="0"/>
        <v>0</v>
      </c>
      <c r="F38" s="738">
        <v>46</v>
      </c>
    </row>
    <row r="39" spans="1:7" ht="15" hidden="1" x14ac:dyDescent="0.2">
      <c r="A39" s="142"/>
      <c r="B39" s="734" t="s">
        <v>465</v>
      </c>
      <c r="C39" s="735"/>
      <c r="D39" s="736"/>
      <c r="E39" s="737">
        <f t="shared" si="0"/>
        <v>0</v>
      </c>
      <c r="F39" s="738">
        <v>47</v>
      </c>
    </row>
    <row r="40" spans="1:7" ht="15" hidden="1" x14ac:dyDescent="0.2">
      <c r="A40" s="142"/>
      <c r="B40" s="734" t="s">
        <v>466</v>
      </c>
      <c r="C40" s="735"/>
      <c r="D40" s="736"/>
      <c r="E40" s="737">
        <f t="shared" si="0"/>
        <v>0</v>
      </c>
      <c r="F40" s="738">
        <v>48</v>
      </c>
    </row>
    <row r="41" spans="1:7" ht="15" hidden="1" x14ac:dyDescent="0.2">
      <c r="A41" s="142"/>
      <c r="B41" s="734" t="s">
        <v>467</v>
      </c>
      <c r="C41" s="735"/>
      <c r="D41" s="736"/>
      <c r="E41" s="737">
        <f t="shared" si="0"/>
        <v>0</v>
      </c>
      <c r="F41" s="738">
        <v>49</v>
      </c>
    </row>
    <row r="42" spans="1:7" ht="15" x14ac:dyDescent="0.2">
      <c r="A42" s="142"/>
      <c r="B42" s="734" t="s">
        <v>259</v>
      </c>
      <c r="C42" s="735"/>
      <c r="D42" s="736"/>
      <c r="E42" s="737">
        <f t="shared" si="0"/>
        <v>1.186046511627907E-2</v>
      </c>
      <c r="F42" s="738">
        <v>50</v>
      </c>
      <c r="G42" s="72">
        <v>51</v>
      </c>
    </row>
    <row r="43" spans="1:7" ht="15" x14ac:dyDescent="0.2">
      <c r="A43" s="142"/>
      <c r="B43" s="734" t="s">
        <v>643</v>
      </c>
      <c r="C43" s="735"/>
      <c r="D43" s="736"/>
      <c r="E43" s="737">
        <f t="shared" si="0"/>
        <v>3.0232558139534882E-3</v>
      </c>
      <c r="F43" s="738">
        <v>51</v>
      </c>
      <c r="G43" s="72">
        <v>13</v>
      </c>
    </row>
    <row r="44" spans="1:7" ht="15" x14ac:dyDescent="0.2">
      <c r="A44" s="142"/>
      <c r="B44" s="734" t="s">
        <v>396</v>
      </c>
      <c r="C44" s="735"/>
      <c r="D44" s="736"/>
      <c r="E44" s="737">
        <f t="shared" si="0"/>
        <v>0.19395348837209303</v>
      </c>
      <c r="F44" s="738">
        <v>52</v>
      </c>
      <c r="G44" s="72">
        <v>834</v>
      </c>
    </row>
    <row r="45" spans="1:7" ht="15" x14ac:dyDescent="0.2">
      <c r="A45" s="142"/>
      <c r="B45" s="734" t="s">
        <v>614</v>
      </c>
      <c r="C45" s="735"/>
      <c r="D45" s="736"/>
      <c r="E45" s="737">
        <f t="shared" si="0"/>
        <v>3.9534883720930229E-3</v>
      </c>
      <c r="F45" s="738">
        <v>54</v>
      </c>
      <c r="G45" s="72">
        <v>17</v>
      </c>
    </row>
    <row r="46" spans="1:7" ht="15.75" thickBot="1" x14ac:dyDescent="0.25">
      <c r="A46" s="142"/>
      <c r="B46" s="742" t="s">
        <v>560</v>
      </c>
      <c r="C46" s="743"/>
      <c r="D46" s="744"/>
      <c r="E46" s="745">
        <f>SUM(E8:E45)</f>
        <v>0.99999999999999989</v>
      </c>
      <c r="F46" s="746"/>
      <c r="G46" s="72">
        <f>SUM(G8:G45)</f>
        <v>4300</v>
      </c>
    </row>
    <row r="47" spans="1:7" x14ac:dyDescent="0.2">
      <c r="F47" s="747"/>
    </row>
    <row r="48" spans="1:7" x14ac:dyDescent="0.2">
      <c r="F48" s="747"/>
    </row>
  </sheetData>
  <sheetProtection algorithmName="SHA-512" hashValue="nKQHFhdaznSY8+qPlp61r+X/cxcazahLPNQ0Au4SqZDP+Su0O3+z9p6v6OYjnaQtOXAw5n2jBPFyWSDwkL8LWQ==" saltValue="TiDKnFrVtHB+z2hmwEwW9w==" spinCount="100000" sheet="1" objects="1" scenarios="1"/>
  <mergeCells count="4">
    <mergeCell ref="B4:F4"/>
    <mergeCell ref="A1:F1"/>
    <mergeCell ref="B5:F5"/>
    <mergeCell ref="B6:F6"/>
  </mergeCells>
  <phoneticPr fontId="0" type="noConversion"/>
  <printOptions horizontalCentered="1"/>
  <pageMargins left="0.75" right="0.75" top="1.5" bottom="0.5" header="0.25" footer="0.5"/>
  <pageSetup scale="83" fitToWidth="0" fitToHeight="0" orientation="portrait" r:id="rId1"/>
  <headerFooter alignWithMargins="0">
    <oddHeader>&amp;C&amp;"Arial,Bold"&amp;14&amp;K05-043Mississippi State University
&amp;11Office of Institutional Research and Effectiveness
Common Data Set 2022-23</oddHeader>
    <oddFooter>&amp;L&amp;9&amp;K05-049Updated: &amp;D&amp;C&amp;9&amp;K05-049&amp;A&amp;R&amp;9&amp;K05-049Page &amp;P</oddFooter>
  </headerFooter>
  <colBreaks count="1" manualBreakCount="1">
    <brk id="6" max="1048575" man="1"/>
  </colBreaks>
  <ignoredErrors>
    <ignoredError sqref="F8:F12"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12</vt:i4>
      </vt:variant>
    </vt:vector>
  </HeadingPairs>
  <TitlesOfParts>
    <vt:vector size="22" baseType="lpstr">
      <vt:lpstr>A. General Information</vt:lpstr>
      <vt:lpstr>B. Enrollment and Persistence</vt:lpstr>
      <vt:lpstr>C.First-time Freshmen Admission</vt:lpstr>
      <vt:lpstr>D. Transfer Admission</vt:lpstr>
      <vt:lpstr>E. Academic Offerings_Policies</vt:lpstr>
      <vt:lpstr>F. Student Life</vt:lpstr>
      <vt:lpstr>G. Annual Expenses</vt:lpstr>
      <vt:lpstr>H. Financial Aid</vt:lpstr>
      <vt:lpstr>I. Instructional Faculty-Class</vt:lpstr>
      <vt:lpstr>J. Degrees Conferred</vt:lpstr>
      <vt:lpstr>'B. Enrollment and Persistence'!Print_Area</vt:lpstr>
      <vt:lpstr>'C.First-time Freshmen Admission'!Print_Area</vt:lpstr>
      <vt:lpstr>'D. Transfer Admission'!Print_Area</vt:lpstr>
      <vt:lpstr>'E. Academic Offerings_Policies'!Print_Area</vt:lpstr>
      <vt:lpstr>'F. Student Life'!Print_Area</vt:lpstr>
      <vt:lpstr>'H. Financial Aid'!Print_Area</vt:lpstr>
      <vt:lpstr>'I. Instructional Faculty-Class'!Print_Area</vt:lpstr>
      <vt:lpstr>'J. Degrees Conferred'!Print_Area</vt:lpstr>
      <vt:lpstr>'A. General Information'!Print_Titles</vt:lpstr>
      <vt:lpstr>'B. Enrollment and Persistence'!Print_Titles</vt:lpstr>
      <vt:lpstr>'C.First-time Freshmen Admission'!Print_Titles</vt:lpstr>
      <vt:lpstr>'D. Transfer Admission'!Print_Titles</vt:lpstr>
    </vt:vector>
  </TitlesOfParts>
  <Company>Your Company Name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Fall 2022 Common Data Set</dc:title>
  <dc:creator>OIRE</dc:creator>
  <cp:lastModifiedBy>Warren, Turner</cp:lastModifiedBy>
  <cp:lastPrinted>2023-02-10T15:27:43Z</cp:lastPrinted>
  <dcterms:created xsi:type="dcterms:W3CDTF">2001-06-11T17:38:48Z</dcterms:created>
  <dcterms:modified xsi:type="dcterms:W3CDTF">2026-04-01T16:39:00Z</dcterms:modified>
</cp:coreProperties>
</file>