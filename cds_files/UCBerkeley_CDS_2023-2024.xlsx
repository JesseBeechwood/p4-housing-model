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DS-A" sheetId="2" r:id="rId6"/>
    <sheet state="visible" name="CDS-B" sheetId="3" r:id="rId7"/>
    <sheet state="visible" name="CDS-C" sheetId="4" r:id="rId8"/>
    <sheet state="visible" name="CDS-D" sheetId="5" r:id="rId9"/>
    <sheet state="visible" name="CDS-E" sheetId="6" r:id="rId10"/>
    <sheet state="visible" name="CDS-F" sheetId="7" r:id="rId11"/>
    <sheet state="visible" name="CDS-G" sheetId="8" r:id="rId12"/>
    <sheet state="visible" name="CDS-H" sheetId="9" r:id="rId13"/>
    <sheet state="visible" name="CDS-I" sheetId="10" r:id="rId14"/>
    <sheet state="visible" name="CDS-J" sheetId="11" r:id="rId15"/>
    <sheet state="visible" name="DEFINITIONS" sheetId="12" r:id="rId16"/>
    <sheet state="hidden" name="multi select" sheetId="13" r:id="rId17"/>
    <sheet state="hidden" name="validations" sheetId="14" r:id="rId18"/>
  </sheets>
  <definedNames>
    <definedName localSheetId="11" name="_Hlk22631867">DEFINITIONS!$A$97</definedName>
    <definedName localSheetId="3" name="OLE_LINK2">'CDS-C'!$B$3</definedName>
  </definedNames>
  <calcPr/>
</workbook>
</file>

<file path=xl/sharedStrings.xml><?xml version="1.0" encoding="utf-8"?>
<sst xmlns="http://schemas.openxmlformats.org/spreadsheetml/2006/main" count="1769" uniqueCount="1491">
  <si>
    <t>2023-2024 Common Data Set Template</t>
  </si>
  <si>
    <t>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t>
  </si>
  <si>
    <t xml:space="preserve">Notes on template usage: </t>
  </si>
  <si>
    <t xml:space="preserve">1. Tab and enter may work differently based on the operating system and Excel version of the user. Please use caution to not skip any data entry fields. </t>
  </si>
  <si>
    <r>
      <rPr>
        <rFont val="Calibri"/>
        <color theme="1"/>
      </rPr>
      <t xml:space="preserve">2. Several questions use dropdown lists. </t>
    </r>
    <r>
      <rPr>
        <rFont val="Calibri"/>
        <b/>
        <color theme="1"/>
        <sz val="12.0"/>
      </rPr>
      <t xml:space="preserve">Please click into the cell for the dropdown area to show </t>
    </r>
    <r>
      <rPr>
        <rFont val="Calibri"/>
        <color theme="1"/>
        <sz val="12.0"/>
      </rPr>
      <t xml:space="preserve">on the right hand side of the cell. </t>
    </r>
  </si>
  <si>
    <t xml:space="preserve">3. This file is unlocked and may be adjusted as needed. The mutli-select questions and dropdown questions use validations in separate tabs listed below. </t>
  </si>
  <si>
    <t xml:space="preserve">4. Please contact the College Board with any questions about this template: </t>
  </si>
  <si>
    <t>collegesurvey@collegeboard.org</t>
  </si>
  <si>
    <t>A. General Information</t>
  </si>
  <si>
    <t xml:space="preserve">A0. Respondent Information (not for publication) </t>
  </si>
  <si>
    <t>First Name:</t>
  </si>
  <si>
    <t>Erryn</t>
  </si>
  <si>
    <t>Last Name:</t>
  </si>
  <si>
    <t>Rivers</t>
  </si>
  <si>
    <t>Title:</t>
  </si>
  <si>
    <t>Institutional Research Analyst</t>
  </si>
  <si>
    <t>Office:</t>
  </si>
  <si>
    <t>Office of Planning and Analysis</t>
  </si>
  <si>
    <t>Address:</t>
  </si>
  <si>
    <t>Suite 201 1608 4th Street</t>
  </si>
  <si>
    <t>City:</t>
  </si>
  <si>
    <t>Berkeley</t>
  </si>
  <si>
    <t>State:</t>
  </si>
  <si>
    <t>California</t>
  </si>
  <si>
    <t>Zip:</t>
  </si>
  <si>
    <t>94710-1510</t>
  </si>
  <si>
    <t xml:space="preserve">Country: </t>
  </si>
  <si>
    <t>United States</t>
  </si>
  <si>
    <t xml:space="preserve">Phone Number: </t>
  </si>
  <si>
    <t>Extension:</t>
  </si>
  <si>
    <t xml:space="preserve">Email Address: </t>
  </si>
  <si>
    <t>opa@berkeley.edu</t>
  </si>
  <si>
    <r>
      <rPr>
        <rFont val="Calibri"/>
        <color theme="1"/>
        <sz val="12.0"/>
      </rPr>
      <t xml:space="preserve">Are your responses to the CDS posted for reference on your institution's website? </t>
    </r>
    <r>
      <rPr>
        <rFont val="Calibri"/>
        <i/>
        <color theme="1"/>
        <sz val="12.0"/>
      </rPr>
      <t>(click to select from dropdown)</t>
    </r>
  </si>
  <si>
    <t>Yes</t>
  </si>
  <si>
    <t>If yes, please provide a direct link to the posted CDS responses:</t>
  </si>
  <si>
    <t>https://opa.berkeley.edu/campus-data/common-data-set</t>
  </si>
  <si>
    <t>A0A. Comments About CDS (not for publication)</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</si>
  <si>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</si>
  <si>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 xml:space="preserve">Enter comments about CDS here: </t>
  </si>
  <si>
    <t>Portions of the CDS that are not yet prepared are labelled with the expectant release date.</t>
  </si>
  <si>
    <t>A1. Address Information</t>
  </si>
  <si>
    <t>Please enter general institution information below:</t>
  </si>
  <si>
    <t>Name of College or University</t>
  </si>
  <si>
    <t>University of California, Berkeley</t>
  </si>
  <si>
    <t>Street Address:</t>
  </si>
  <si>
    <t>110 Sproul Hall</t>
  </si>
  <si>
    <t>Main Institution Phone Number:</t>
  </si>
  <si>
    <t>Main Institution Website:</t>
  </si>
  <si>
    <t>www.berkeley.edu</t>
  </si>
  <si>
    <t>Main Institution Email:</t>
  </si>
  <si>
    <t> tour@berkeley.edu</t>
  </si>
  <si>
    <t xml:space="preserve">Please enter Admissions Office information below: </t>
  </si>
  <si>
    <t xml:space="preserve">Street Address: </t>
  </si>
  <si>
    <t>110 Sproul Hall, #5800</t>
  </si>
  <si>
    <t>Admissions Phone Number:</t>
  </si>
  <si>
    <t xml:space="preserve">Admissions Toll-free Number: </t>
  </si>
  <si>
    <t xml:space="preserve">Admissions Website: </t>
  </si>
  <si>
    <t>https://www.berkeley.edu/admissions/</t>
  </si>
  <si>
    <t>Admissions Email Address:</t>
  </si>
  <si>
    <t>https://admissions.berkeley.edu/contact-us/</t>
  </si>
  <si>
    <t>Undergraduate</t>
  </si>
  <si>
    <t>gradadm@berkeley.edu</t>
  </si>
  <si>
    <t>Graduate</t>
  </si>
  <si>
    <t xml:space="preserve">Is there a separate URL for your school's online application? If yes, please specify: </t>
  </si>
  <si>
    <t>https://admission.universityofcalifornia.edu/</t>
  </si>
  <si>
    <t>If you have a mailing address other than the one listed above to which applications should be sent, please provide:</t>
  </si>
  <si>
    <r>
      <rPr>
        <rFont val="Calibri"/>
        <b/>
        <color theme="1"/>
        <sz val="14.0"/>
      </rPr>
      <t xml:space="preserve">A2. Source of Institutional Control: </t>
    </r>
    <r>
      <rPr>
        <rFont val="Calibri (Body)"/>
        <b val="0"/>
        <i/>
        <color theme="1"/>
        <sz val="14.0"/>
      </rPr>
      <t>(click to select from dropdown)</t>
    </r>
  </si>
  <si>
    <t>Public</t>
  </si>
  <si>
    <r>
      <rPr>
        <rFont val="Calibri"/>
        <b/>
        <color theme="1"/>
        <sz val="14.0"/>
      </rPr>
      <t xml:space="preserve">A3. Classify your undergraduate institution: </t>
    </r>
    <r>
      <rPr>
        <rFont val="Calibri (Body)"/>
        <b val="0"/>
        <i/>
        <color theme="1"/>
        <sz val="14.0"/>
      </rPr>
      <t>(click to select from dropdown)</t>
    </r>
  </si>
  <si>
    <t>Coeducational</t>
  </si>
  <si>
    <r>
      <rPr>
        <rFont val="Calibri"/>
        <b/>
        <color theme="1"/>
        <sz val="14.0"/>
      </rPr>
      <t xml:space="preserve">A4. Academic year calendar: </t>
    </r>
    <r>
      <rPr>
        <rFont val="Calibri (Body)"/>
        <b val="0"/>
        <i/>
        <color theme="1"/>
        <sz val="14.0"/>
      </rPr>
      <t>(click to select from dropdown)</t>
    </r>
  </si>
  <si>
    <t>Semester</t>
  </si>
  <si>
    <t xml:space="preserve">A4A. Describe if calendar differs by program or other: </t>
  </si>
  <si>
    <r>
      <rPr>
        <rFont val="Calibri"/>
        <b/>
        <color theme="1"/>
        <sz val="14.0"/>
      </rPr>
      <t xml:space="preserve">A5. Degrees offered by your institution </t>
    </r>
    <r>
      <rPr>
        <rFont val="Calibri (Body)"/>
        <b val="0"/>
        <i/>
        <color theme="1"/>
        <sz val="14.0"/>
      </rPr>
      <t>(select all that apply).</t>
    </r>
  </si>
  <si>
    <t xml:space="preserve">Certificate </t>
  </si>
  <si>
    <t xml:space="preserve">Master's </t>
  </si>
  <si>
    <t xml:space="preserve">Diploma </t>
  </si>
  <si>
    <t xml:space="preserve">Post-Master's certificate </t>
  </si>
  <si>
    <t>Associate</t>
  </si>
  <si>
    <t xml:space="preserve">Doctoral degree - research/scholarship </t>
  </si>
  <si>
    <t xml:space="preserve">Terminal </t>
  </si>
  <si>
    <t xml:space="preserve">Doctoral degree - professional practice </t>
  </si>
  <si>
    <t>Transfer</t>
  </si>
  <si>
    <t xml:space="preserve">Doctoral degree - other </t>
  </si>
  <si>
    <t>Bachelor's</t>
  </si>
  <si>
    <t>Post-Bachelor's certificate</t>
  </si>
  <si>
    <t>*Updated 04/24/2024</t>
  </si>
  <si>
    <t>A6. Diversity, Equity, and Inclusion</t>
  </si>
  <si>
    <t>If you have a diversity, equity, and inclusion office or department, please provide the URL of the corresponding Web page:</t>
  </si>
  <si>
    <t>https://diversity.berkeley.edu/</t>
  </si>
  <si>
    <t>END OF SECTION A</t>
  </si>
  <si>
    <t>B. ENROLLMENT AND PERSISTENCE</t>
  </si>
  <si>
    <t xml:space="preserve">B1. Institutional Enrollment </t>
  </si>
  <si>
    <r>
      <rPr>
        <rFont val="Calibri"/>
        <color rgb="FF000000"/>
        <sz val="11.0"/>
      </rPr>
      <t xml:space="preserve">Provide numbers of students for each of the following categories as of the institution’s official fall reporting date or as of </t>
    </r>
    <r>
      <rPr>
        <rFont val="Calibri"/>
        <b/>
        <color rgb="FF000000"/>
        <sz val="11.0"/>
        <u/>
      </rPr>
      <t>October 15, 2023</t>
    </r>
    <r>
      <rPr>
        <rFont val="Calibri"/>
        <color rgb="FF000000"/>
        <sz val="11.0"/>
      </rPr>
      <t xml:space="preserve">. 
     1. Report students formaly designated as "first professional" in the graduate counts. 
     2. If your institution collects and reports non-binary gender data, please use the "Another Gender" category. 
         In cases where gender information is not provided, please distribute across the two binary categories. </t>
    </r>
  </si>
  <si>
    <r>
      <rPr>
        <rFont val="Calibri"/>
        <color theme="1"/>
        <sz val="11.0"/>
        <u/>
      </rPr>
      <t xml:space="preserve"> For more information on how to report study abroad students,</t>
    </r>
    <r>
      <rPr>
        <rFont val="Calibri"/>
        <color theme="4"/>
        <sz val="11.0"/>
        <u/>
      </rPr>
      <t xml:space="preserve"> please see NCES.GOV documentation.</t>
    </r>
  </si>
  <si>
    <t>Men</t>
  </si>
  <si>
    <t>Women</t>
  </si>
  <si>
    <t>Another Gender</t>
  </si>
  <si>
    <t>Full Time Enrollment</t>
  </si>
  <si>
    <t>Part Time Enrollment</t>
  </si>
  <si>
    <t>UNDERGRADUATE STUDENTS</t>
  </si>
  <si>
    <t>Degree-seeking, first-time, first-year students</t>
  </si>
  <si>
    <t>Other first-year, degree-seeking students</t>
  </si>
  <si>
    <t>All other degree-seeking undergraduate students</t>
  </si>
  <si>
    <t>Total degree-seeking undergraduate students</t>
  </si>
  <si>
    <t>All other undergraduates enrolled in credit courses</t>
  </si>
  <si>
    <t>*This row was updated on 04/02/2024</t>
  </si>
  <si>
    <t>Total Undergraduate Students</t>
  </si>
  <si>
    <t>Total part-time undergraduate degree-seeking students</t>
  </si>
  <si>
    <t>Total full-time undergraduate degree-seeking students</t>
  </si>
  <si>
    <t>Total of all undergraduate degree-seeking students</t>
  </si>
  <si>
    <t>Total of all undergraduate students enrolled</t>
  </si>
  <si>
    <t>GRADUATE STUDENTS</t>
  </si>
  <si>
    <t>Degree-seeking, first-time</t>
  </si>
  <si>
    <t>All other degree-seeking</t>
  </si>
  <si>
    <t>All other graduates enrolled in credit courses</t>
  </si>
  <si>
    <t>Total Graduate Students</t>
  </si>
  <si>
    <t>Total part-time graduate degree-seeking students</t>
  </si>
  <si>
    <t>Total full-time graduate degree-seeking students</t>
  </si>
  <si>
    <t>Total of all graduate degree-seeking students</t>
  </si>
  <si>
    <t>Total of all graduate  students enrolled</t>
  </si>
  <si>
    <t>B2. Enrollment by Racial/Ethnic Category</t>
  </si>
  <si>
    <r>
      <rPr>
        <rFont val="Calibri"/>
        <color theme="1"/>
        <sz val="11.0"/>
      </rPr>
      <t xml:space="preserve">Provide numbers of undergraduate students for each of the following categories as of the institution’s official fall reporting date or as of </t>
    </r>
    <r>
      <rPr>
        <rFont val="Calibri"/>
        <b/>
        <color theme="1"/>
        <sz val="11.0"/>
        <u/>
      </rPr>
      <t>October 15, 2023</t>
    </r>
    <r>
      <rPr>
        <rFont val="Calibri"/>
        <color theme="1"/>
        <sz val="11.0"/>
      </rPr>
      <t xml:space="preserve">. </t>
    </r>
  </si>
  <si>
    <t xml:space="preserve">1. Include international students only in the category "Nonresidents." </t>
  </si>
  <si>
    <t>2. Complete the “Total Undergraduates” column only if you cannot provide data for the first two columns.</t>
  </si>
  <si>
    <t>3. Report as your institution reports to IPEDS: persons who are Hispanic should be reported only on the Hispanic line, not under any race, and persons who are non-Hispanic multi-racial should be reported only under "Two or more races."</t>
  </si>
  <si>
    <r>
      <rPr>
        <rFont val="Calibri"/>
        <color theme="1"/>
        <sz val="11.0"/>
      </rPr>
      <t xml:space="preserve">4. New guidance from IPEDS for reporting aggregate data: </t>
    </r>
    <r>
      <rPr>
        <rFont val="Calibri"/>
        <i/>
        <color theme="1"/>
        <sz val="11.0"/>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rFont val="Calibri"/>
        <color theme="1"/>
        <sz val="11.0"/>
      </rPr>
      <t xml:space="preserve">					</t>
    </r>
  </si>
  <si>
    <t>5. More information about other eligible (for financial aid purposes) non-citizens is available at https://studentaid.gov/understandaid/eligibility/requirements/non-us-citizens.</t>
  </si>
  <si>
    <t>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</si>
  <si>
    <t>Degree-seeking, 
First-time, First-year</t>
  </si>
  <si>
    <r>
      <rPr>
        <rFont val="Calibri"/>
        <b/>
        <color theme="1"/>
        <sz val="12.0"/>
      </rPr>
      <t xml:space="preserve">Degree-seeking Undergraduates </t>
    </r>
    <r>
      <rPr>
        <rFont val="Calibri"/>
        <color theme="1"/>
        <sz val="12.0"/>
      </rPr>
      <t xml:space="preserve">
(include first-time, first-year)</t>
    </r>
  </si>
  <si>
    <r>
      <rPr>
        <rFont val="Calibri"/>
        <b/>
        <color theme="1"/>
        <sz val="12.0"/>
      </rPr>
      <t xml:space="preserve">Total Undergraduates </t>
    </r>
    <r>
      <rPr>
        <rFont val="Calibri"/>
        <color theme="1"/>
        <sz val="12.0"/>
      </rPr>
      <t xml:space="preserve">
(both degree-seeking and non-degree-seeking)</t>
    </r>
  </si>
  <si>
    <t>International (nonresidents)</t>
  </si>
  <si>
    <r>
      <rPr>
        <rFont val="Calibri"/>
        <b/>
        <color rgb="FF000000"/>
        <sz val="11.0"/>
      </rPr>
      <t>Hispanic/</t>
    </r>
    <r>
      <rPr>
        <rFont val="Calibri"/>
        <b/>
        <color theme="1"/>
        <sz val="11.0"/>
      </rPr>
      <t>Latino</t>
    </r>
  </si>
  <si>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</si>
  <si>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</si>
  <si>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</si>
  <si>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</si>
  <si>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</si>
  <si>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</si>
  <si>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</si>
  <si>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</si>
  <si>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B3. Persistence / Degrees</t>
  </si>
  <si>
    <r>
      <rPr>
        <rFont val="Calibri"/>
        <color rgb="FF000000"/>
        <sz val="11.0"/>
      </rPr>
      <t xml:space="preserve">Number of degrees awarded by your institution from </t>
    </r>
    <r>
      <rPr>
        <rFont val="Calibri"/>
        <color rgb="FF000000"/>
        <sz val="11.0"/>
        <u/>
      </rPr>
      <t>July 1, 2022, to June 30, 2023</t>
    </r>
    <r>
      <rPr>
        <rFont val="Calibri"/>
        <color rgb="FF000000"/>
        <sz val="11.0"/>
      </rPr>
      <t>.</t>
    </r>
  </si>
  <si>
    <t>Certificate/Diploma</t>
  </si>
  <si>
    <t>Associate's Degrees</t>
  </si>
  <si>
    <t>Bachelor's Degrees</t>
  </si>
  <si>
    <t>Post-Bachelor's Degrees</t>
  </si>
  <si>
    <t>*Updated May 2024</t>
  </si>
  <si>
    <t>Master's Degrees</t>
  </si>
  <si>
    <t>Post-Master's Degrees</t>
  </si>
  <si>
    <t>Doctoral degree - research/scholarship</t>
  </si>
  <si>
    <t>Doctoral degree - professional practice</t>
  </si>
  <si>
    <t>Doctoral degree - other</t>
  </si>
  <si>
    <t>B4 - B21. Graduation Rates</t>
  </si>
  <si>
    <r>
      <rPr>
        <rFont val="Calibri"/>
        <color rgb="FF000000"/>
        <sz val="12.0"/>
      </rPr>
      <t xml:space="preserve">The items in this section correspond to data elements collected by the </t>
    </r>
    <r>
      <rPr>
        <rFont val="Calibri"/>
        <color theme="1"/>
        <sz val="12.0"/>
      </rPr>
      <t>IPEDS Web-based Data Collection System’s</t>
    </r>
    <r>
      <rPr>
        <rFont val="Calibri"/>
        <color rgb="FF000000"/>
        <sz val="12.0"/>
      </rPr>
      <t xml:space="preserve"> Graduation Rate Survey (GRS).</t>
    </r>
  </si>
  <si>
    <t xml:space="preserve">For complete instructions and definitions of data elements, see the IPEDS GRS Forms and Instructions for the 2023-2024 Survey. https://nces.ed.gov/ipeds/use-the-data/survey-components/9/graduation-rates </t>
  </si>
  <si>
    <r>
      <rPr>
        <rFont val="Calibri"/>
        <b/>
        <color rgb="FF000000"/>
        <sz val="12.0"/>
      </rPr>
      <t>In</t>
    </r>
    <r>
      <rPr>
        <rFont val="Calibri"/>
        <b/>
        <color rgb="FF333333"/>
        <sz val="12.0"/>
      </rPr>
      <t xml:space="preserve"> the following section for bachelor’s or equivalent programs, please disaggregate the Fall 2016 and Fall 2017 cohorts 
(formerly CDS B4-B11) into four groups:</t>
    </r>
  </si>
  <si>
    <r>
      <rPr>
        <rFont val="Calibri"/>
        <color rgb="FF000000"/>
        <sz val="12.0"/>
      </rPr>
      <t xml:space="preserve">·       Students who received a Federal Pell Grant*
·       Recipients of a subsidized Stafford Loan who did not receive a Pell Grant
·       Students who did not receive either a Pell Grant or a subsidized Stafford Loan
·       Total (all students, regardless of Pell Grant or subsized loan status)
</t>
    </r>
    <r>
      <rPr>
        <rFont val="Calibri"/>
        <i/>
        <color rgb="FF000000"/>
        <sz val="12.0"/>
      </rPr>
      <t>*   Students who received both a Federal Pell Grant and a subsidized Stafford Loan should be reported in the "Recipients of a Federal Pell Grant" column.</t>
    </r>
  </si>
  <si>
    <t>For Bachelor’s or Equivalent Programs: Please provide data for the Fall 2017 cohort if available. If Fall 2017 cohort data are not available, provide data for the Fall 2016 cohort.</t>
  </si>
  <si>
    <t xml:space="preserve">2017 COHORT (AY - 7) </t>
  </si>
  <si>
    <t>Recipients of a Federal Pell Grant</t>
  </si>
  <si>
    <t>Recipients of a Subsidized Stafford Loan, who did not receive a Pell Grant</t>
  </si>
  <si>
    <t>Students who did not receive either a Pell Grant or a subsidized Stafford Loan</t>
  </si>
  <si>
    <r>
      <rPr>
        <rFont val="Calibri"/>
        <b/>
        <color theme="1"/>
        <sz val="12.0"/>
      </rPr>
      <t>A. Initial 2017 cohort</t>
    </r>
    <r>
      <rPr>
        <rFont val="Calibri"/>
        <color theme="1"/>
        <sz val="12.0"/>
      </rPr>
      <t xml:space="preserve"> of first-time, full-time, bachelor's (or equivalent) degree-seeking undergraduate students</t>
    </r>
  </si>
  <si>
    <r>
      <rPr>
        <rFont val="Calibri"/>
        <b/>
        <color theme="1"/>
        <sz val="12.0"/>
      </rPr>
      <t>B. Of the Initial 2017 cohort, how many did not persist and did not graduate</t>
    </r>
    <r>
      <rPr>
        <rFont val="Calibri"/>
        <color theme="1"/>
        <sz val="12.0"/>
      </rPr>
      <t xml:space="preserve"> for any of the following reasons: </t>
    </r>
    <r>
      <rPr>
        <rFont val="Calibri"/>
        <i/>
        <color theme="1"/>
        <sz val="12.0"/>
      </rPr>
      <t xml:space="preserve">(report total allowable exclusions) </t>
    </r>
    <r>
      <rPr>
        <rFont val="Calibri"/>
        <color theme="1"/>
        <sz val="12.0"/>
      </rPr>
      <t xml:space="preserve">
- Deceased  
- Armed Forces 
- Official church mission
- Permanently Disabled
- Foreign Aid Service of the Federal Government
</t>
    </r>
  </si>
  <si>
    <r>
      <rPr>
        <rFont val="Calibri"/>
        <b/>
        <color theme="1"/>
        <sz val="12.0"/>
      </rPr>
      <t>C. Final 2017 cohort</t>
    </r>
    <r>
      <rPr>
        <rFont val="Calibri"/>
        <color theme="1"/>
        <sz val="12.0"/>
      </rPr>
      <t>, after adjusting for allowable exclusions</t>
    </r>
  </si>
  <si>
    <r>
      <rPr>
        <rFont val="Calibri"/>
        <b/>
        <color theme="1"/>
        <sz val="12.0"/>
      </rPr>
      <t xml:space="preserve">D. Of the initial 2017 cohort, how many completed the program in four years or less </t>
    </r>
    <r>
      <rPr>
        <rFont val="Calibri"/>
        <color theme="1"/>
        <sz val="12.0"/>
      </rPr>
      <t xml:space="preserve">(by Aug. 31, 2021)? </t>
    </r>
  </si>
  <si>
    <r>
      <rPr>
        <rFont val="Calibri"/>
        <b/>
        <color theme="1"/>
        <sz val="12.0"/>
      </rPr>
      <t>E. Of the initial 2017 cohort, how many completed the program in more than four years but in five years or less</t>
    </r>
    <r>
      <rPr>
        <rFont val="Calibri"/>
        <color theme="1"/>
        <sz val="12.0"/>
      </rPr>
      <t xml:space="preserve"> (after Aug. 31, 2021 and by Aug. 31, 2022)?</t>
    </r>
  </si>
  <si>
    <r>
      <rPr>
        <rFont val="Calibri"/>
        <b/>
        <color theme="1"/>
        <sz val="12.0"/>
      </rPr>
      <t>F. Of the initial 2017 cohort, how many completed the program in more than five years but in six years or less</t>
    </r>
    <r>
      <rPr>
        <rFont val="Calibri"/>
        <color theme="1"/>
        <sz val="12.0"/>
      </rPr>
      <t xml:space="preserve"> (after Aug. 31, 2022 and by Aug. 31, 2023)?</t>
    </r>
  </si>
  <si>
    <t>*This row was upated 4/2/2024</t>
  </si>
  <si>
    <r>
      <rPr>
        <rFont val="Calibri"/>
        <b/>
        <color theme="1"/>
        <sz val="12.0"/>
      </rPr>
      <t xml:space="preserve">G. Total graduating within six years
</t>
    </r>
    <r>
      <rPr>
        <rFont val="Calibri"/>
        <b val="0"/>
        <i/>
        <color theme="1"/>
        <sz val="12.0"/>
      </rPr>
      <t>(Sum of D., E., and F.)</t>
    </r>
  </si>
  <si>
    <r>
      <rPr>
        <rFont val="Calibri"/>
        <b/>
        <color theme="1"/>
        <sz val="12.0"/>
      </rPr>
      <t xml:space="preserve">H. Six-year graduation rate for 2017 cohort
</t>
    </r>
    <r>
      <rPr>
        <rFont val="Calibri"/>
        <b val="0"/>
        <i/>
        <color theme="1"/>
        <sz val="12.0"/>
      </rPr>
      <t>(G. divided by C.)</t>
    </r>
    <r>
      <rPr>
        <rFont val="Calibri"/>
        <b/>
        <color theme="1"/>
        <sz val="12.0"/>
      </rPr>
      <t xml:space="preserve"> </t>
    </r>
  </si>
  <si>
    <t xml:space="preserve">2016 COHORT (AY - 8) </t>
  </si>
  <si>
    <r>
      <rPr>
        <rFont val="Calibri"/>
        <b/>
        <color theme="1"/>
        <sz val="12.0"/>
      </rPr>
      <t>A. Initial 2016 cohort</t>
    </r>
    <r>
      <rPr>
        <rFont val="Calibri"/>
        <color theme="1"/>
        <sz val="12.0"/>
      </rPr>
      <t xml:space="preserve"> of first-time, full-time, bachelor's (or equivalent) degree-seeking undergraduate students</t>
    </r>
  </si>
  <si>
    <r>
      <rPr>
        <rFont val="Calibri"/>
        <b/>
        <color theme="1"/>
        <sz val="12.0"/>
      </rPr>
      <t>B. Of the Initial 2016 cohort, how many did not persist and did not graduate</t>
    </r>
    <r>
      <rPr>
        <rFont val="Calibri"/>
        <color theme="1"/>
        <sz val="12.0"/>
      </rPr>
      <t xml:space="preserve"> for any of the following reasons: </t>
    </r>
    <r>
      <rPr>
        <rFont val="Calibri"/>
        <i/>
        <color theme="1"/>
        <sz val="12.0"/>
      </rPr>
      <t xml:space="preserve">(report total allowable exclusions) </t>
    </r>
    <r>
      <rPr>
        <rFont val="Calibri"/>
        <color theme="1"/>
        <sz val="12.0"/>
      </rPr>
      <t xml:space="preserve">
- Deceased           - Permanently Disabled
- Armed Forces    - Foreign Aid Service of the Federal Government
- Official church missions</t>
    </r>
  </si>
  <si>
    <r>
      <rPr>
        <rFont val="Calibri"/>
        <b/>
        <color theme="1"/>
        <sz val="12.0"/>
      </rPr>
      <t>C. Final 2016 cohort</t>
    </r>
    <r>
      <rPr>
        <rFont val="Calibri"/>
        <color theme="1"/>
        <sz val="12.0"/>
      </rPr>
      <t>, after adjusting for allowable exclusions</t>
    </r>
  </si>
  <si>
    <r>
      <rPr>
        <rFont val="Calibri"/>
        <b/>
        <color theme="1"/>
        <sz val="12.0"/>
      </rPr>
      <t xml:space="preserve">D. Of the initial 2016 cohort, how many completed the program in four years or less </t>
    </r>
    <r>
      <rPr>
        <rFont val="Calibri"/>
        <color theme="1"/>
        <sz val="12.0"/>
      </rPr>
      <t xml:space="preserve">(by Aug. 31, 2020)? </t>
    </r>
  </si>
  <si>
    <r>
      <rPr>
        <rFont val="Calibri"/>
        <b/>
        <color theme="1"/>
        <sz val="12.0"/>
      </rPr>
      <t>E. Of the initial 2016 cohort, how many completed the program in more than four years but in five years or less</t>
    </r>
    <r>
      <rPr>
        <rFont val="Calibri"/>
        <color theme="1"/>
        <sz val="12.0"/>
      </rPr>
      <t xml:space="preserve"> (after Aug. 31, 2020 and by Aug. 31, 2021)?</t>
    </r>
  </si>
  <si>
    <r>
      <rPr>
        <rFont val="Calibri"/>
        <b/>
        <color theme="1"/>
        <sz val="12.0"/>
      </rPr>
      <t>F. Of the initial 2016 cohort, how many completed the program in more than five years but in six years or less</t>
    </r>
    <r>
      <rPr>
        <rFont val="Calibri"/>
        <color theme="1"/>
        <sz val="12.0"/>
      </rPr>
      <t xml:space="preserve"> (after Aug. 31, 2021 and by Aug. 31, 2022)?</t>
    </r>
  </si>
  <si>
    <r>
      <rPr>
        <rFont val="Calibri"/>
        <b/>
        <color theme="1"/>
        <sz val="12.0"/>
      </rPr>
      <t xml:space="preserve">G. Total graduating within six years
</t>
    </r>
    <r>
      <rPr>
        <rFont val="Calibri"/>
        <b val="0"/>
        <i/>
        <color theme="1"/>
        <sz val="12.0"/>
      </rPr>
      <t>(Sum of D., E., and F.)</t>
    </r>
  </si>
  <si>
    <r>
      <rPr>
        <rFont val="Calibri"/>
        <b/>
        <color theme="1"/>
        <sz val="12.0"/>
      </rPr>
      <t xml:space="preserve">H. Six-year graduation rate for 2016 cohort
</t>
    </r>
    <r>
      <rPr>
        <rFont val="Calibri"/>
        <b val="0"/>
        <i/>
        <color theme="1"/>
        <sz val="12.0"/>
      </rPr>
      <t>(G. divided by C.)</t>
    </r>
    <r>
      <rPr>
        <rFont val="Calibri"/>
        <b/>
        <color theme="1"/>
        <sz val="12.0"/>
      </rPr>
      <t xml:space="preserve"> </t>
    </r>
  </si>
  <si>
    <t>Two-Year Institutions - Graduation, Completion Counts</t>
  </si>
  <si>
    <t>Please provide data for the 2020 cohort if available. If 2020 cohort data are not available, provide data for the 2019 cohort.</t>
  </si>
  <si>
    <t>2020 Cohort</t>
  </si>
  <si>
    <t>2019 Cohort</t>
  </si>
  <si>
    <t xml:space="preserve">B12. Initial cohort, total of first-time, full-time degree/certificate-seeking students: </t>
  </si>
  <si>
    <r>
      <rPr>
        <rFont val="Calibri"/>
        <b/>
        <color theme="1"/>
        <sz val="11.0"/>
      </rPr>
      <t>B13. Of the initial cohort, how many did not persist and did not graduate</t>
    </r>
    <r>
      <rPr>
        <rFont val="Calibri"/>
        <color theme="1"/>
        <sz val="11.0"/>
      </rPr>
      <t xml:space="preserve"> </t>
    </r>
    <r>
      <rPr>
        <rFont val="Calibri"/>
        <b/>
        <color theme="1"/>
        <sz val="11.0"/>
      </rPr>
      <t xml:space="preserve">for any of the following reasons: </t>
    </r>
    <r>
      <rPr>
        <rFont val="Calibri"/>
        <i/>
        <color theme="1"/>
        <sz val="11.0"/>
      </rPr>
      <t xml:space="preserve">(report total allowable exclusions) </t>
    </r>
    <r>
      <rPr>
        <rFont val="Calibri"/>
        <color theme="1"/>
        <sz val="11.0"/>
      </rPr>
      <t xml:space="preserve">
- Deceased           - Permanently Disabled
- Armed Forces    - Foreign Aid Service of the Federal Government
- Official church missions</t>
    </r>
  </si>
  <si>
    <r>
      <rPr>
        <rFont val="Calibri"/>
        <b/>
        <color theme="1"/>
        <sz val="11.0"/>
      </rPr>
      <t>B14. Final cohort</t>
    </r>
    <r>
      <rPr>
        <rFont val="Calibri"/>
        <color theme="1"/>
        <sz val="11.0"/>
      </rPr>
      <t xml:space="preserve">, after adjusting for allowable exclusions: </t>
    </r>
  </si>
  <si>
    <r>
      <rPr>
        <rFont val="Calibri"/>
        <b/>
        <color theme="1"/>
        <sz val="11.0"/>
      </rPr>
      <t>B15. Completers of programs of less than two years</t>
    </r>
    <r>
      <rPr>
        <rFont val="Calibri"/>
        <color theme="1"/>
        <sz val="11.0"/>
      </rPr>
      <t xml:space="preserve"> duration (total): </t>
    </r>
  </si>
  <si>
    <t xml:space="preserve">B16. Completers of programs of less than two years within 150 percent of normal time: </t>
  </si>
  <si>
    <t xml:space="preserve">B17. Completers of programs of at least two but less than four years (total): </t>
  </si>
  <si>
    <t xml:space="preserve">B18. Completers of programs of at least two but less than four-years within 150 percent of normal time: </t>
  </si>
  <si>
    <t xml:space="preserve">B19. Total transfers-out (within three years) to other institutions: </t>
  </si>
  <si>
    <t xml:space="preserve">B20. Total transfers to two-year institutions: </t>
  </si>
  <si>
    <t xml:space="preserve">B21. Total transfers to four-year institutions: </t>
  </si>
  <si>
    <t>B22. Retention Rates</t>
  </si>
  <si>
    <t>Report for the cohort of all full-time, first-time bachelor’s (or equivalent) degree-seeking undergraduate students who entered in Fall 2022 (or the preceding summer term). 
The initial cohort may be adjusted for students who departed for the following reasons:
*	Death
*	Permanent Disability
*	Service in the armed forces
*	Foreign aid service of the federal government
*	Official church missions
*	No other adjustments to the initial cohort should be made.
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 
Total students retained = students from the Fall 2022 cohort who are still enrolled as of Fall 2023 + students from 
Fall 2022 cohort who completed their bachelor’s program as of Fall 2023
(Students from the Fall 2022 cohort still enrolled as of Fall 2023 + Students from Fall 2022 cohort who completed their 
bachelor’s program as of Fall 2023)/(Adjusted Fall 2022 cohort) *100
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</si>
  <si>
    <t xml:space="preserve">Enter retention rate: </t>
  </si>
  <si>
    <t>END OF SECTION B</t>
  </si>
  <si>
    <t>C. FIRST-TIME, FIRST-YEAR ADMISSION</t>
  </si>
  <si>
    <t>C1. Applications: First-time, First-year Students</t>
  </si>
  <si>
    <t>Provide the number of degree-seeking, first-time, first-year students who applied, were admitted, and enrolled (full- or part-time) in Fall 2023. 
- Include early decision, early action, and students who began studies during summer in this cohort.
-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 Admitted applicants should include wait-listed students who were subsequently offered admission.
- Since the total may include students who did not provide gender data, the detail need not sum to the total.
- If your institution collects and reports non-binary gender data, please use the “Another Gender” category. 
- Note that recent high school graduates and other students without prior postsecondary experience will still be considered “first-time students” for fall enrollment reporting purposes even if they enrolled in the summer prior to fall enrollment.</t>
  </si>
  <si>
    <r>
      <rPr>
        <rFont val="Calibri"/>
        <b/>
        <color rgb="FF000000"/>
        <sz val="12.0"/>
      </rPr>
      <t xml:space="preserve">Total </t>
    </r>
    <r>
      <rPr>
        <rFont val="Calibri"/>
        <color rgb="FF000000"/>
        <sz val="12.0"/>
      </rPr>
      <t xml:space="preserve">first-time, first-year students who </t>
    </r>
    <r>
      <rPr>
        <rFont val="Calibri"/>
        <b/>
        <color rgb="FF000000"/>
        <sz val="12.0"/>
      </rPr>
      <t>applied</t>
    </r>
    <r>
      <rPr>
        <rFont val="Calibri"/>
        <color rgb="FF000000"/>
        <sz val="12.0"/>
      </rPr>
      <t xml:space="preserve"> in Fall 2023</t>
    </r>
  </si>
  <si>
    <r>
      <rPr>
        <rFont val="Calibri"/>
        <b/>
        <color rgb="FF000000"/>
        <sz val="12.0"/>
      </rPr>
      <t>Total</t>
    </r>
    <r>
      <rPr>
        <rFont val="Calibri"/>
        <color rgb="FF000000"/>
        <sz val="12.0"/>
      </rPr>
      <t xml:space="preserve"> first-time, first-year students </t>
    </r>
    <r>
      <rPr>
        <rFont val="Calibri"/>
        <b/>
        <color rgb="FF000000"/>
        <sz val="12.0"/>
      </rPr>
      <t>admitted</t>
    </r>
    <r>
      <rPr>
        <rFont val="Calibri"/>
        <color rgb="FF000000"/>
        <sz val="12.0"/>
      </rPr>
      <t xml:space="preserve"> in Fall 2023</t>
    </r>
  </si>
  <si>
    <r>
      <rPr>
        <rFont val="Calibri"/>
        <b/>
        <color rgb="FF000000"/>
        <sz val="12.0"/>
      </rPr>
      <t>Total</t>
    </r>
    <r>
      <rPr>
        <rFont val="Calibri"/>
        <color rgb="FF000000"/>
        <sz val="12.0"/>
      </rPr>
      <t xml:space="preserve"> first-time, first-year students </t>
    </r>
    <r>
      <rPr>
        <rFont val="Calibri"/>
        <b/>
        <color rgb="FF000000"/>
        <sz val="12.0"/>
      </rPr>
      <t>enrolled</t>
    </r>
    <r>
      <rPr>
        <rFont val="Calibri"/>
        <color rgb="FF000000"/>
        <sz val="12.0"/>
      </rPr>
      <t xml:space="preserve"> in Fall 2023</t>
    </r>
  </si>
  <si>
    <r>
      <rPr>
        <rFont val="Calibri"/>
        <b/>
        <color theme="1"/>
        <sz val="12.0"/>
      </rPr>
      <t>Full-time</t>
    </r>
    <r>
      <rPr>
        <rFont val="Calibri"/>
        <color theme="1"/>
        <sz val="12.0"/>
      </rPr>
      <t xml:space="preserve">, first-time, first-year students </t>
    </r>
    <r>
      <rPr>
        <rFont val="Calibri"/>
        <b/>
        <color theme="1"/>
        <sz val="12.0"/>
      </rPr>
      <t>enrolled</t>
    </r>
    <r>
      <rPr>
        <rFont val="Calibri"/>
        <color theme="1"/>
        <sz val="12.0"/>
      </rPr>
      <t xml:space="preserve"> in Fall 2023</t>
    </r>
  </si>
  <si>
    <r>
      <rPr>
        <rFont val="Calibri"/>
        <b/>
        <color rgb="FF000000"/>
        <sz val="12.0"/>
      </rPr>
      <t>Part-time</t>
    </r>
    <r>
      <rPr>
        <rFont val="Calibri"/>
        <color rgb="FF000000"/>
        <sz val="12.0"/>
      </rPr>
      <t xml:space="preserve">, first-time, first-year students </t>
    </r>
    <r>
      <rPr>
        <rFont val="Calibri"/>
        <b/>
        <color rgb="FF000000"/>
        <sz val="12.0"/>
      </rPr>
      <t>enrolled</t>
    </r>
    <r>
      <rPr>
        <rFont val="Calibri"/>
        <color rgb="FF000000"/>
        <sz val="12.0"/>
      </rPr>
      <t xml:space="preserve"> in Fall 2023</t>
    </r>
  </si>
  <si>
    <t>In-State</t>
  </si>
  <si>
    <t>Out-of-State</t>
  </si>
  <si>
    <t>International</t>
  </si>
  <si>
    <r>
      <rPr>
        <rFont val="Calibri"/>
        <color rgb="FF000000"/>
        <sz val="12.0"/>
      </rPr>
      <t xml:space="preserve">Total first-time, first-year (degree seeking) who </t>
    </r>
    <r>
      <rPr>
        <rFont val="Calibri"/>
        <b/>
        <color rgb="FF000000"/>
        <sz val="12.0"/>
      </rPr>
      <t>applied</t>
    </r>
  </si>
  <si>
    <t>*Updated April 30th 2024</t>
  </si>
  <si>
    <r>
      <rPr>
        <rFont val="Calibri"/>
        <color rgb="FF000000"/>
        <sz val="12.0"/>
      </rPr>
      <t xml:space="preserve">Total first-time, first-year (degree seeking) who were </t>
    </r>
    <r>
      <rPr>
        <rFont val="Calibri"/>
        <b/>
        <color rgb="FF000000"/>
        <sz val="12.0"/>
      </rPr>
      <t>admitted</t>
    </r>
  </si>
  <si>
    <r>
      <rPr>
        <rFont val="Calibri"/>
        <color theme="1"/>
        <sz val="12.0"/>
      </rPr>
      <t xml:space="preserve">Total first-time, first-year (degree seeking) </t>
    </r>
    <r>
      <rPr>
        <rFont val="Calibri"/>
        <b/>
        <color theme="1"/>
        <sz val="12.0"/>
      </rPr>
      <t>enrolled</t>
    </r>
  </si>
  <si>
    <t>C2. Applications: First-time, First-year Wait-Listed Students</t>
  </si>
  <si>
    <t xml:space="preserve">Students who met admission requirements but whose final admission was contingent on space availablity. </t>
  </si>
  <si>
    <t xml:space="preserve">Do you have a policy of placing students on a waiting list? </t>
  </si>
  <si>
    <t xml:space="preserve">Select from the dropdown menu. </t>
  </si>
  <si>
    <t xml:space="preserve">If yes, please answer the questions below for Fall 2023 admissions: </t>
  </si>
  <si>
    <t xml:space="preserve">Number of qualified applicants offered a place on waiting list: </t>
  </si>
  <si>
    <t xml:space="preserve">Number accepting a place on the waiting list: </t>
  </si>
  <si>
    <t xml:space="preserve">Number of wait-listed students admitted: </t>
  </si>
  <si>
    <t xml:space="preserve">Is your waiting list ranked? </t>
  </si>
  <si>
    <t>No</t>
  </si>
  <si>
    <t>If yes, do you release that information to students?</t>
  </si>
  <si>
    <t xml:space="preserve">If yes, do you release that information to school counselors? </t>
  </si>
  <si>
    <t xml:space="preserve">C3. Admission Requirements: High School Completion Requirement </t>
  </si>
  <si>
    <r>
      <rPr>
        <rFont val="Calibri"/>
        <color theme="1"/>
      </rPr>
      <t xml:space="preserve">Does your institution require high school completion for degree-seeking entering students? </t>
    </r>
    <r>
      <rPr>
        <rFont val="Calibri"/>
        <i/>
        <color theme="1"/>
        <sz val="12.0"/>
      </rPr>
      <t xml:space="preserve">Select from dropdown. </t>
    </r>
  </si>
  <si>
    <t>High school diploma is required and GED is accepted</t>
  </si>
  <si>
    <t>C4. Admission Requirements: General College-Prepatory Program</t>
  </si>
  <si>
    <r>
      <rPr>
        <rFont val="Calibri"/>
        <color theme="1"/>
        <sz val="12.0"/>
      </rPr>
      <t xml:space="preserve">Does your institution require OR recommend a general college-preparatory program for degree-seeking students? </t>
    </r>
    <r>
      <rPr>
        <rFont val="Calibri"/>
        <i/>
        <color theme="1"/>
        <sz val="12.0"/>
      </rPr>
      <t>Select from dropdown.</t>
    </r>
  </si>
  <si>
    <t>Require</t>
  </si>
  <si>
    <t>C5. Admission Requirements: High School Units Required/Recommended</t>
  </si>
  <si>
    <t xml:space="preserve">Specify the distribution of academic high school course unites required and/or recommend of all or most degree-seeking students using Carnegie units (one unit equals one year of study or its equivalent). If you use a different system, please convert to Carnegie. </t>
  </si>
  <si>
    <t>Units 
Required</t>
  </si>
  <si>
    <t>Units Recommended</t>
  </si>
  <si>
    <t>Total Academic Units</t>
  </si>
  <si>
    <t>English</t>
  </si>
  <si>
    <t>Mathematics</t>
  </si>
  <si>
    <t>Science</t>
  </si>
  <si>
    <t xml:space="preserve">       of Science Units, how many units must be lab </t>
  </si>
  <si>
    <t>Foreign language</t>
  </si>
  <si>
    <t>Social Studies</t>
  </si>
  <si>
    <t>History</t>
  </si>
  <si>
    <t>Computer Science</t>
  </si>
  <si>
    <t>Visual/Performing Arts</t>
  </si>
  <si>
    <t>Academic Electives</t>
  </si>
  <si>
    <t xml:space="preserve">Other Elective Units required (please specify): </t>
  </si>
  <si>
    <t xml:space="preserve">Other Elective Units recommended (please specify): </t>
  </si>
  <si>
    <t>C6. Basis for Selection: Open Admission Policy</t>
  </si>
  <si>
    <r>
      <rPr>
        <rFont val="Calibri"/>
        <color theme="1"/>
        <sz val="12.0"/>
      </rPr>
      <t xml:space="preserve">Does your institution have an open admission policy, under which virtually all secondary school graduates or students with GED equivalency diplomas are admitted without regard to academic record, test scores, or other qualifications? </t>
    </r>
    <r>
      <rPr>
        <rFont val="Calibri"/>
        <i/>
        <color theme="1"/>
        <sz val="12.0"/>
      </rPr>
      <t>Select the most applicable response from the dropdown options.</t>
    </r>
  </si>
  <si>
    <t>Other</t>
  </si>
  <si>
    <t xml:space="preserve">If "Other" is selected, please include detail in the textbox below: </t>
  </si>
  <si>
    <t>No open admission policy</t>
  </si>
  <si>
    <t>C7. Basis for Selection: Relative Importance of Factors in Admission Decisions</t>
  </si>
  <si>
    <r>
      <rPr>
        <rFont val="Calibri"/>
        <color theme="1"/>
        <sz val="12.0"/>
      </rPr>
      <t xml:space="preserve">Please indicate the relative importance of each of the following academic and non-academic factors in your first-time, first-year degree-seeking general admission decisions (not including programs with specific criteria): </t>
    </r>
    <r>
      <rPr>
        <rFont val="Calibri"/>
        <i/>
        <color theme="1"/>
        <sz val="12.0"/>
      </rPr>
      <t xml:space="preserve">select from the dropdown menus. </t>
    </r>
  </si>
  <si>
    <t>ACADEMIC</t>
  </si>
  <si>
    <t>Rigor of secondary school record</t>
  </si>
  <si>
    <t>Very Important</t>
  </si>
  <si>
    <t>Class rank</t>
  </si>
  <si>
    <t>Not Considered</t>
  </si>
  <si>
    <t xml:space="preserve">Academic Grade Point Average (GPA) </t>
  </si>
  <si>
    <t>Recommendations</t>
  </si>
  <si>
    <t>Considered</t>
  </si>
  <si>
    <t>*only if solicited</t>
  </si>
  <si>
    <t>Standardized test scores</t>
  </si>
  <si>
    <t>*only subject tests and not general ACT/SAT tests</t>
  </si>
  <si>
    <t>Application essay</t>
  </si>
  <si>
    <t>NONACADEMIC</t>
  </si>
  <si>
    <t>Interview</t>
  </si>
  <si>
    <t>Extracurriculuar activities</t>
  </si>
  <si>
    <t>Important</t>
  </si>
  <si>
    <t>Talent/ability</t>
  </si>
  <si>
    <t>Character/personal qualities</t>
  </si>
  <si>
    <t>First generation</t>
  </si>
  <si>
    <t>Alumni/ae relation</t>
  </si>
  <si>
    <t>Geographical residence</t>
  </si>
  <si>
    <t>State residency</t>
  </si>
  <si>
    <t xml:space="preserve">Religious affilitation/commitment </t>
  </si>
  <si>
    <t>Volunteer work</t>
  </si>
  <si>
    <t xml:space="preserve">Work experience </t>
  </si>
  <si>
    <t>Level of applicant's interest</t>
  </si>
  <si>
    <t xml:space="preserve">Please provide additional information if the importance of any specific academic or nonacademic factors differ by academic program: </t>
  </si>
  <si>
    <t>C8. SAT and ACT Policies</t>
  </si>
  <si>
    <t xml:space="preserve">Does your institution make use of SAT or ACT scores in admissions decisions for first-time, first-year, degree-seeking applicants? </t>
  </si>
  <si>
    <t xml:space="preserve">If yes, please select the appropriate response from the dropdown menus for each possible option below for admission for Fall 2025. </t>
  </si>
  <si>
    <t>***We do take into account SAT II Subject Test scores, but we do not take into account regular SAT or ACT scores</t>
  </si>
  <si>
    <t xml:space="preserve">SAT and/or ACT </t>
  </si>
  <si>
    <t>Not considered for admission, even if submitted</t>
  </si>
  <si>
    <t>ACT Only</t>
  </si>
  <si>
    <t>SAT Only</t>
  </si>
  <si>
    <t xml:space="preserve">Does your institution use applicants' test scores for academic advising? </t>
  </si>
  <si>
    <t xml:space="preserve">What is the latest date by which SAT or ACT scores must be received for fall-term admission? </t>
  </si>
  <si>
    <t>Please use the following format: MM/DD/YYYY</t>
  </si>
  <si>
    <t>**FOR SAT Subject Test</t>
  </si>
  <si>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</si>
  <si>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UC Berkeley is test-free, which means we will not use SAT/ACT test scores in any part of our application process. 
Berkeley has always used, and will continue to use, holistic review, which means there is no one sole factor on the application that will determine a student’s admission status. SAT/ACT test scores were not the only academic indicators available on the application to assess students. Other academic indicators will continue to be assessed in the review process, including grades, the rigor of a student's courses, other non-required tests (SAT subject test, AP tests, IB test, etc.), and a student’s individual academic context.
While SAT/ACT scores will not be used in the admissions process, any scores submitted to Berkeley will be used for placement or subject credit purposes should the student be admitted to Berkeley. </t>
  </si>
  <si>
    <r>
      <rPr>
        <rFont val="Calibri"/>
        <color theme="1"/>
        <sz val="12.0"/>
      </rPr>
      <t xml:space="preserve">Please indicate which tests your institution uses for placement 
(e.g. state tests): </t>
    </r>
    <r>
      <rPr>
        <rFont val="Calibri"/>
        <b/>
        <color rgb="FFC00000"/>
        <sz val="12.0"/>
      </rPr>
      <t>**Updated May 2024.</t>
    </r>
    <r>
      <rPr>
        <rFont val="Calibri"/>
        <color rgb="FFC00000"/>
        <sz val="12.0"/>
      </rPr>
      <t xml:space="preserve"> </t>
    </r>
    <r>
      <rPr>
        <rFont val="Calibri"/>
        <b/>
        <color rgb="FFC00000"/>
        <sz val="12.0"/>
      </rPr>
      <t>Placement is not an admissions issue at UC  Berkeley, this is accurate only for which tests admissions will consider but placement is dependent on academic individual departments</t>
    </r>
  </si>
  <si>
    <t>X</t>
  </si>
  <si>
    <t>SAT</t>
  </si>
  <si>
    <t>ACT</t>
  </si>
  <si>
    <t>AP</t>
  </si>
  <si>
    <t>CLEP</t>
  </si>
  <si>
    <t>Institutional Exam</t>
  </si>
  <si>
    <t>State Exam</t>
  </si>
  <si>
    <t>**Also SAT Subject Tests</t>
  </si>
  <si>
    <t xml:space="preserve">If you selected State Exam, please specify: </t>
  </si>
  <si>
    <t xml:space="preserve">C9. First-time, first-year profile: National standardized test scores (SAT/ACT) </t>
  </si>
  <si>
    <r>
      <rPr>
        <rFont val="Calibri"/>
        <color rgb="FF000000"/>
        <sz val="12.0"/>
      </rPr>
      <t xml:space="preserve">Provide information for </t>
    </r>
    <r>
      <rPr>
        <rFont val="Calibri"/>
        <b/>
        <color rgb="FF000000"/>
        <sz val="12.0"/>
      </rPr>
      <t xml:space="preserve">all enrolled, degree-seeking, full-time and part-time, first-time, first-year students </t>
    </r>
    <r>
      <rPr>
        <rFont val="Calibri"/>
        <color rgb="FF000000"/>
        <sz val="12.0"/>
      </rPr>
      <t xml:space="preserve">enrolled in </t>
    </r>
    <r>
      <rPr>
        <rFont val="Calibri"/>
        <b/>
        <color rgb="FF000000"/>
        <sz val="12.0"/>
      </rPr>
      <t>Fall 2023</t>
    </r>
    <r>
      <rPr>
        <rFont val="Calibri"/>
        <color rgb="FF000000"/>
        <sz val="12.0"/>
      </rPr>
      <t xml:space="preserve">, including students who began studies during summer, international students/nonresidents, and students admitted under special arrangements. </t>
    </r>
    <r>
      <rPr>
        <rFont val="Calibri"/>
        <b/>
        <color rgb="FF000000"/>
        <sz val="12.0"/>
      </rPr>
      <t>Report the percent and number of first-time, first-year students enrolled in Fall 2023 who submitted national standardized (SAT/ACT) test scores.</t>
    </r>
    <r>
      <rPr>
        <rFont val="Calibri"/>
        <color rgb="FF000000"/>
        <sz val="12.0"/>
      </rPr>
      <t xml:space="preserve"> </t>
    </r>
  </si>
  <si>
    <t>1. Include information for ALL enrolled, degree-seeking, first-time, first-year students who submitted test scores.</t>
  </si>
  <si>
    <t>2. Do not include partial test scores (e.g., mathematics scores but not critical reading for a category of students) or combine other standardized test results (such as TOEFL) in this item.</t>
  </si>
  <si>
    <t>3. Do not convert SAT scores to ACT scores and vice versa.</t>
  </si>
  <si>
    <r>
      <rPr>
        <rFont val="Calibri"/>
        <color theme="1"/>
        <sz val="12.0"/>
      </rPr>
      <t xml:space="preserve">4. If a student submitted multiple sets of scores for a single test, report this information according to how you use the data. 
</t>
    </r>
    <r>
      <rPr>
        <rFont val="Calibri"/>
        <i/>
        <color theme="1"/>
        <sz val="12.0"/>
      </rPr>
      <t>For example: If you consider the highest scores from either submission, use the highest combination of scores (e.g., verbal from one submission, math from the other). If you average the scores, use the average to report the scores.</t>
    </r>
  </si>
  <si>
    <t xml:space="preserve">Percent </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</si>
  <si>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</si>
  <si>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</si>
  <si>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</si>
  <si>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</si>
  <si>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</si>
  <si>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</si>
  <si>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r>
      <rPr>
        <rFont val="Calibri"/>
        <b/>
        <color theme="1"/>
        <sz val="12.0"/>
      </rPr>
      <t xml:space="preserve">50th Percentile Score 
</t>
    </r>
    <r>
      <rPr>
        <rFont val="Calibri (Body)"/>
        <b val="0"/>
        <i/>
        <color theme="1"/>
        <sz val="9.0"/>
      </rPr>
      <t>(not used in BFCP)</t>
    </r>
  </si>
  <si>
    <t>75th Percentile Score</t>
  </si>
  <si>
    <t xml:space="preserve">SAT Composite (400 - 1600) </t>
  </si>
  <si>
    <t xml:space="preserve">SAT Evidence-Based Reading and Writing (200 - 800) </t>
  </si>
  <si>
    <t xml:space="preserve">SAT Math (200 - 800) </t>
  </si>
  <si>
    <t xml:space="preserve">ACT Composite (0 - 36) </t>
  </si>
  <si>
    <t>ACT Math (0 - 36)</t>
  </si>
  <si>
    <t>ACT English (0 - 36)</t>
  </si>
  <si>
    <t>ACT Reading (0 - 36)</t>
  </si>
  <si>
    <t>ACT Science (0 - 36)</t>
  </si>
  <si>
    <t>ACT Writing (0 - 36)</t>
  </si>
  <si>
    <r>
      <rPr>
        <rFont val="Calibri"/>
        <b/>
        <color theme="1"/>
        <sz val="12.0"/>
      </rPr>
      <t xml:space="preserve">Percent of first-time, first-year students with scores in each range: 
</t>
    </r>
    <r>
      <rPr>
        <rFont val="Calibri"/>
        <b val="0"/>
        <i/>
        <color theme="1"/>
        <sz val="12.0"/>
      </rPr>
      <t xml:space="preserve">Sum of each column should equal 100%. </t>
    </r>
  </si>
  <si>
    <t>Score Range</t>
  </si>
  <si>
    <t>SAT Evidence-Based Reading and Writing</t>
  </si>
  <si>
    <t>SAT Math</t>
  </si>
  <si>
    <t>700-800</t>
  </si>
  <si>
    <t>600-699</t>
  </si>
  <si>
    <t>500-599</t>
  </si>
  <si>
    <t>400-499</t>
  </si>
  <si>
    <t>300-399</t>
  </si>
  <si>
    <t>200-299</t>
  </si>
  <si>
    <t>SAT 
Composite</t>
  </si>
  <si>
    <t>ACT 
Composite</t>
  </si>
  <si>
    <t>1400-1600</t>
  </si>
  <si>
    <t>30 - 36</t>
  </si>
  <si>
    <t>1200-1399</t>
  </si>
  <si>
    <t>24 - 29</t>
  </si>
  <si>
    <t>1000-1199</t>
  </si>
  <si>
    <t>18 - 23</t>
  </si>
  <si>
    <t>800-999</t>
  </si>
  <si>
    <t>12 - 17</t>
  </si>
  <si>
    <t>600-799</t>
  </si>
  <si>
    <t>6 - 11</t>
  </si>
  <si>
    <t>400-599</t>
  </si>
  <si>
    <t>Below 6</t>
  </si>
  <si>
    <t>ACT English</t>
  </si>
  <si>
    <t>ACT Math</t>
  </si>
  <si>
    <t>ACT Reading</t>
  </si>
  <si>
    <t>ACT Science</t>
  </si>
  <si>
    <t>C10. Class Rank Ranges</t>
  </si>
  <si>
    <t>Percent of all degree-seeking, first-time, first-year students who had high school class rank within each of the following ranges (report information for those students from whom you collected high school rank information).</t>
  </si>
  <si>
    <t>Class Rank Range</t>
  </si>
  <si>
    <t>Percent</t>
  </si>
  <si>
    <t>Percent in top tenth of high school graduating class</t>
  </si>
  <si>
    <t>Percent in top quarter of high school graduating class</t>
  </si>
  <si>
    <t>Percent in top half of high school graduating class</t>
  </si>
  <si>
    <t xml:space="preserve">Top half and bottom half should = 100%. </t>
  </si>
  <si>
    <t>Percent in bottom half of high school graduating class</t>
  </si>
  <si>
    <t>Percent in bottom quarter of high school graduating class</t>
  </si>
  <si>
    <t>Percent of total first-time, first-year students who submitted high school class rank</t>
  </si>
  <si>
    <t>C11. High School Grade Point Ranges</t>
  </si>
  <si>
    <t>Percentage of all enrolled, degree-seeking, first-time, first-year students who had high school grade-point averages within each of the following ranges (using 4.0 scale).</t>
  </si>
  <si>
    <t>1. Report information only for those students from whom you collected high school GPA.</t>
  </si>
  <si>
    <t>2. If you are able to report GPA ranges separately for students that also submitted at least one test score versus those who did not submit a test score, please do so in the respective columns. If you are unable to report these data, please report the ranges for all students.</t>
  </si>
  <si>
    <t>Percent of students who submitted scores</t>
  </si>
  <si>
    <t>Percent of students who did not submit scores</t>
  </si>
  <si>
    <t>Percent of all enrolled students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</si>
  <si>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</si>
  <si>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</si>
  <si>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</si>
  <si>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</si>
  <si>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</si>
  <si>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</si>
  <si>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</si>
  <si>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</si>
  <si>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</si>
  <si>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 xml:space="preserve">Percent of all enrolled students was previously collected. Reporting by submitted test score is new. If available, please report all three segments of students. </t>
  </si>
  <si>
    <t>*UC Berkeley reports unweighted GPA, Updated May 2024</t>
  </si>
  <si>
    <t xml:space="preserve">C12. Average High School GPA </t>
  </si>
  <si>
    <t>Average high school GPA of all degree-seeking, first-time, first-year students who submitted GPA:</t>
  </si>
  <si>
    <t>Percent of total first-time, first-year students who submitted high school GPA:</t>
  </si>
  <si>
    <t xml:space="preserve">C13. Application Fee </t>
  </si>
  <si>
    <t xml:space="preserve">Does your institution have an application fee? </t>
  </si>
  <si>
    <t xml:space="preserve">If your institution has waived its application fee for the Fall 2025 application cycle, please select no. </t>
  </si>
  <si>
    <t xml:space="preserve">If yes, what is the amount of the application fee: </t>
  </si>
  <si>
    <t>$80 for domestic students / $95 for international</t>
  </si>
  <si>
    <t xml:space="preserve">If yes, can the fee be waived for applicants with financial need? </t>
  </si>
  <si>
    <t xml:space="preserve"> If you have an application fee, and have an online application option, please indicate the policy for students who apply online: </t>
  </si>
  <si>
    <t>Same Fee</t>
  </si>
  <si>
    <t>If you have an application fee for online applications, can the fee be waived for students with financial need?</t>
  </si>
  <si>
    <t xml:space="preserve">C14. Application Closing Date </t>
  </si>
  <si>
    <t xml:space="preserve">Does your institution have an application closing date? </t>
  </si>
  <si>
    <t xml:space="preserve">If yes, please enter the dates below: </t>
  </si>
  <si>
    <t>Please use the following format: (MM/DD)</t>
  </si>
  <si>
    <t xml:space="preserve">Application Closing Date (Fall) </t>
  </si>
  <si>
    <t>Priority Date</t>
  </si>
  <si>
    <t>C15. First-time, first-year student acceptance other than Fall</t>
  </si>
  <si>
    <t xml:space="preserve">Are first-time, first-year students accepted for terms other than the Fall? </t>
  </si>
  <si>
    <t>C16. Admissions Notification to Applicants</t>
  </si>
  <si>
    <t xml:space="preserve">Are notifications to applicants of admission decision sent on a rolling basis? </t>
  </si>
  <si>
    <r>
      <rPr>
        <rFont val="Calibri"/>
        <color theme="1"/>
      </rPr>
      <t xml:space="preserve">What date do rolling notifications begin? </t>
    </r>
    <r>
      <rPr>
        <rFont val="Calibri"/>
        <i/>
        <color theme="1"/>
        <sz val="12.0"/>
      </rPr>
      <t>(MM/DD)</t>
    </r>
  </si>
  <si>
    <r>
      <rPr>
        <rFont val="Calibri"/>
        <color theme="1"/>
      </rPr>
      <t xml:space="preserve">If notifications of admission decision are sent by specific date, please enter date: </t>
    </r>
    <r>
      <rPr>
        <rFont val="Calibri"/>
        <i/>
        <color theme="1"/>
        <sz val="12.0"/>
      </rPr>
      <t>(MM/DD)</t>
    </r>
  </si>
  <si>
    <t xml:space="preserve">C17. Reply Policy for Applicants  </t>
  </si>
  <si>
    <r>
      <rPr>
        <rFont val="Calibri"/>
        <color theme="1"/>
      </rPr>
      <t xml:space="preserve">What is your institution's reply policy for admitted applicants? </t>
    </r>
    <r>
      <rPr>
        <rFont val="Calibri"/>
        <i/>
        <color theme="1"/>
        <sz val="12.0"/>
      </rPr>
      <t xml:space="preserve">(select from dropdown menu and related follow-up textbox) </t>
    </r>
  </si>
  <si>
    <t>Must reply by May 1st (or within set number of weeks if notified thereafter)</t>
  </si>
  <si>
    <t>If you selected reply by May 1st or within a set number of weeks, please enter number of weeks:</t>
  </si>
  <si>
    <t>weeks if notified therafter</t>
  </si>
  <si>
    <r>
      <rPr>
        <rFont val="Calibri"/>
        <color theme="1"/>
        <sz val="12.0"/>
      </rPr>
      <t xml:space="preserve">If you selected specific date, please enter the date here: </t>
    </r>
    <r>
      <rPr>
        <rFont val="Calibri"/>
        <i/>
        <color theme="1"/>
        <sz val="12.0"/>
      </rPr>
      <t>(MM/DD)</t>
    </r>
  </si>
  <si>
    <t xml:space="preserve">Please provide admitted applicant policy, if none of the above policies apply to your institution: </t>
  </si>
  <si>
    <t>Freshmen</t>
  </si>
  <si>
    <t>Transfer Students</t>
  </si>
  <si>
    <r>
      <rPr>
        <rFont val="Calibri"/>
        <color theme="1"/>
      </rPr>
      <t xml:space="preserve">Deadline for housing deposits: </t>
    </r>
    <r>
      <rPr>
        <rFont val="Calibri"/>
        <i/>
        <color theme="1"/>
        <sz val="12.0"/>
      </rPr>
      <t>(MM/DD)</t>
    </r>
  </si>
  <si>
    <t>06/02</t>
  </si>
  <si>
    <t xml:space="preserve">Amount of housing deposit: </t>
  </si>
  <si>
    <t xml:space="preserve">Are housing deposits refundable if student does not enroll? </t>
  </si>
  <si>
    <t>Yes, in part</t>
  </si>
  <si>
    <t xml:space="preserve">C18. Deferred Admission </t>
  </si>
  <si>
    <t xml:space="preserve">Does your institution allow students to postpone enrollment after admission? </t>
  </si>
  <si>
    <t xml:space="preserve">If yes, what is the maximum period of postponement? </t>
  </si>
  <si>
    <t>2 years</t>
  </si>
  <si>
    <t xml:space="preserve">C19. Early Admissions </t>
  </si>
  <si>
    <t xml:space="preserve">Does your institution allow high school students to enroll as full-time, 
first-time, first-year students one year or more before high school graduation? </t>
  </si>
  <si>
    <t>C20. Common Application (Questions Removed from CDS.)</t>
  </si>
  <si>
    <t xml:space="preserve">C21. Early Decision </t>
  </si>
  <si>
    <t>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</si>
  <si>
    <t xml:space="preserve">If yes, please complete the following applicable dates: </t>
  </si>
  <si>
    <t xml:space="preserve">First or only early decision plan closing date: </t>
  </si>
  <si>
    <t xml:space="preserve">First or only early decision plan notification date: </t>
  </si>
  <si>
    <t xml:space="preserve">Other early decision plan closing date: </t>
  </si>
  <si>
    <t xml:space="preserve">Other early decision plan notification date: </t>
  </si>
  <si>
    <t xml:space="preserve">For the Fall 2023 entering class: </t>
  </si>
  <si>
    <t xml:space="preserve">Number of early decision applications received by your institution: </t>
  </si>
  <si>
    <t xml:space="preserve">Number of applicants admitted under early decision plan: </t>
  </si>
  <si>
    <t xml:space="preserve">Please provide significant details about your early decision plan: </t>
  </si>
  <si>
    <t>C22. Early Action</t>
  </si>
  <si>
    <t xml:space="preserve">Do you have a nonbinding early action plan whereby students are notified of an admission decision well in advance of the regular notification date but do not have to commit to attending your college? </t>
  </si>
  <si>
    <t>If yes, please complete the following: (MM/DD)</t>
  </si>
  <si>
    <t>Early action closing date:</t>
  </si>
  <si>
    <t>Early action notification date:</t>
  </si>
  <si>
    <t xml:space="preserve">Is your early action plan a "restrictive" plan under which you limit students from applying to other early plans? </t>
  </si>
  <si>
    <t xml:space="preserve">Number of early action applications received by your institution: </t>
  </si>
  <si>
    <t xml:space="preserve">Number of applicants admitted under early action plan: </t>
  </si>
  <si>
    <t xml:space="preserve">Number of applicants enrolled under early action plan: </t>
  </si>
  <si>
    <t>END OF SECTION C</t>
  </si>
  <si>
    <t>D. TRANSFER ADMISSION</t>
  </si>
  <si>
    <t>D1. Fall Applicants: Transfer Student Enrollment</t>
  </si>
  <si>
    <t xml:space="preserve">If NO - Skip to CDS Section E. </t>
  </si>
  <si>
    <t xml:space="preserve">Does your institution enroll transfer students? </t>
  </si>
  <si>
    <t xml:space="preserve">If yes, may transfer students earn advanced standing credit by transferring credits earned from course work completed at other colleges/universities? </t>
  </si>
  <si>
    <t>D2. Fall Applicants: Student Counts</t>
  </si>
  <si>
    <t xml:space="preserve">Provide the number of students who applied, were admitted, and enrolled as degree-seeking transfer students in Fall 2023. 
If your institution collects and reports non-binary gender data, please use the "Another Gender" category. </t>
  </si>
  <si>
    <t>Applicants</t>
  </si>
  <si>
    <t>Admitted Applicants</t>
  </si>
  <si>
    <t>Enrolled Applicants</t>
  </si>
  <si>
    <t>Men = Man + Trans Man</t>
  </si>
  <si>
    <t>Women = Woman + Trans Woman</t>
  </si>
  <si>
    <t>Another Gender = Different Identity + Nonbinary</t>
  </si>
  <si>
    <t>Since the total may include students who did not provide gender data, the detail does not sum to the total</t>
  </si>
  <si>
    <t>D3. Enrollment Terms</t>
  </si>
  <si>
    <r>
      <rPr>
        <rFont val="Calibri"/>
        <color theme="1"/>
      </rPr>
      <t xml:space="preserve">Please indicate which terms for which transfer students may enroll: </t>
    </r>
    <r>
      <rPr>
        <rFont val="Calibri"/>
        <i/>
        <color theme="1"/>
        <sz val="12.0"/>
      </rPr>
      <t>(select all that apply)</t>
    </r>
  </si>
  <si>
    <t>D4. Transfer Applicants Minimum Credits</t>
  </si>
  <si>
    <t xml:space="preserve">Must a transfer applicant have a minimum number of credits/courses completed 
or else must apply as an entering first-year student? </t>
  </si>
  <si>
    <t xml:space="preserve">If yes, what is the minimum number and the unit type? </t>
  </si>
  <si>
    <t>Number:</t>
  </si>
  <si>
    <t xml:space="preserve">Unit Type: </t>
  </si>
  <si>
    <t>Credit(s)</t>
  </si>
  <si>
    <t>transferable semester units</t>
  </si>
  <si>
    <t xml:space="preserve">D5. Requirements for Admission </t>
  </si>
  <si>
    <t xml:space="preserve">Please indicate if the below items are required, recommended, or not of transfer students to apply for admission: </t>
  </si>
  <si>
    <t>Select from the dropdown menu.</t>
  </si>
  <si>
    <t>High school transcript</t>
  </si>
  <si>
    <t>Required of Some</t>
  </si>
  <si>
    <t>College transcript(s)</t>
  </si>
  <si>
    <t>Required of All</t>
  </si>
  <si>
    <t>Essay or personal statement</t>
  </si>
  <si>
    <t>Not Required</t>
  </si>
  <si>
    <t>Standardardized test scores</t>
  </si>
  <si>
    <t>Statement of good standing from prior institution(s)</t>
  </si>
  <si>
    <t>D6. Minimum High School GPA Required</t>
  </si>
  <si>
    <t xml:space="preserve">If a minimum high school grade point average is required of transfer applicants, specificy (on a 4.0) scale: </t>
  </si>
  <si>
    <t>GPA Required:</t>
  </si>
  <si>
    <t>N/A</t>
  </si>
  <si>
    <t>D7. Minimum College GPA Required</t>
  </si>
  <si>
    <t xml:space="preserve">If a minimum college grade point average is required of transfer applicants, specificy (on a 4.0) scale: </t>
  </si>
  <si>
    <t xml:space="preserve">D8. List any other application requirements specific to transfer applicants: </t>
  </si>
  <si>
    <t>Supplemental Forms</t>
  </si>
  <si>
    <t>D9. Application Specific Dates</t>
  </si>
  <si>
    <r>
      <rPr>
        <rFont val="Calibri"/>
        <color theme="1"/>
        <sz val="12.0"/>
      </rPr>
      <t xml:space="preserve">List application priority, closing, notification, and candidate reply dates for transfer students. If applications are reviewed on a continuous or rolling basis, place a check mark in the "Rolling Admission" column. 
</t>
    </r>
    <r>
      <rPr>
        <rFont val="Calibri"/>
        <i/>
        <color theme="1"/>
        <sz val="12.0"/>
      </rPr>
      <t xml:space="preserve">Use MM/DD format. </t>
    </r>
  </si>
  <si>
    <t>Closing Date</t>
  </si>
  <si>
    <t>Notification Date</t>
  </si>
  <si>
    <t>Reply Date</t>
  </si>
  <si>
    <t>Rolling Admission</t>
  </si>
  <si>
    <t xml:space="preserve">Fall </t>
  </si>
  <si>
    <t>Winter</t>
  </si>
  <si>
    <t>Spring</t>
  </si>
  <si>
    <t>Summer</t>
  </si>
  <si>
    <t xml:space="preserve">D10. Open Admission Policy </t>
  </si>
  <si>
    <t xml:space="preserve">Does an open admission policy, if reported, apply to transfer students? </t>
  </si>
  <si>
    <t>D11. Additional Requirements</t>
  </si>
  <si>
    <t xml:space="preserve">Please describe any additional requirements for transfer students, if applicable: </t>
  </si>
  <si>
    <t>Completion of prerequisite courses for intended major and freshman/sophomore general education courses.</t>
  </si>
  <si>
    <t>D12. Lowest Grade Allowable for Transfer Credit</t>
  </si>
  <si>
    <t xml:space="preserve">Report the lowest grade earned for any course that may be transferred for credit: </t>
  </si>
  <si>
    <t xml:space="preserve">Lowest grade: </t>
  </si>
  <si>
    <t>C</t>
  </si>
  <si>
    <t>D13. Maximum Credits Transferred to two-year institutions</t>
  </si>
  <si>
    <t xml:space="preserve">Report the maximum number of credits or courses that may be transferred from a two-year institution: </t>
  </si>
  <si>
    <t xml:space="preserve">Number: </t>
  </si>
  <si>
    <t>Unit Type:</t>
  </si>
  <si>
    <t>Semester units</t>
  </si>
  <si>
    <t>D14. Maximum Credits Transferred to four-year institutions</t>
  </si>
  <si>
    <t xml:space="preserve">Report the maximum number of credits or courses that may be transferred from a four-year institution: </t>
  </si>
  <si>
    <t>D15. Minimum Credits to Earn Associate Degree</t>
  </si>
  <si>
    <t xml:space="preserve">Report the minimum number of credits that transfer students must complete at your institution to earn an associate degree: </t>
  </si>
  <si>
    <t>D16. Minimum Credits to Earn Bachelor's Degree</t>
  </si>
  <si>
    <t>Report the minimum number of credits that transfer students must complete at your institution to earn a bachelor's degree:</t>
  </si>
  <si>
    <t>D17: Other Credit Policies</t>
  </si>
  <si>
    <t>Please describe any other transfer credit policies:</t>
  </si>
  <si>
    <t xml:space="preserve"> Maximum transfer units may vary by college.</t>
  </si>
  <si>
    <t>D18: Military/Veteran Transfer Credits</t>
  </si>
  <si>
    <r>
      <rPr>
        <rFont val="Calibri"/>
        <color theme="1"/>
      </rPr>
      <t xml:space="preserve">Does your institution accept the following military/veteran transfer credits: </t>
    </r>
    <r>
      <rPr>
        <rFont val="Calibri"/>
        <i/>
        <color theme="1"/>
        <sz val="12.0"/>
      </rPr>
      <t xml:space="preserve">(select all that apply) </t>
    </r>
  </si>
  <si>
    <t>D19: Maximum Credits Transferred - ACE</t>
  </si>
  <si>
    <t xml:space="preserve">Report the maximum number of credits or courses that may be transferred based on military education evaluated by the American Council on Education (ACE): </t>
  </si>
  <si>
    <t>D20: Maximum Credits Transferred - CLEP, DSST</t>
  </si>
  <si>
    <t xml:space="preserve">Report the maximum number of credits or courses that may be transferred based on Department of Defense supported prior learning assessments (College Level Examination Program (CLEP) or DANTES Subject Standardized Tests (DSST)): </t>
  </si>
  <si>
    <t>D21: Published Transfer Policies</t>
  </si>
  <si>
    <t xml:space="preserve">Are the military/veteran credit transfer policies published on your website? </t>
  </si>
  <si>
    <t xml:space="preserve">If yes, please provide the URL where the policy can be located: </t>
  </si>
  <si>
    <t>https://admission.universityofcalifornia.edu/counselors/preparing-transfer-students/transfer-credit-practice.html</t>
  </si>
  <si>
    <t>D22: Unique Transfer Policies</t>
  </si>
  <si>
    <t xml:space="preserve">Please describe other military/veteran transfer credit policies unique to your institution: </t>
  </si>
  <si>
    <t>END OF SECTION D</t>
  </si>
  <si>
    <t>E. ACADEMIC OFFERINGS AND POLICIES</t>
  </si>
  <si>
    <t xml:space="preserve">E1. Special study options </t>
  </si>
  <si>
    <t xml:space="preserve">Please identify the programs available at your institution. Refer to the glossary for definitions. Select all that apply. </t>
  </si>
  <si>
    <t>Accelerated Program</t>
  </si>
  <si>
    <t>Honors program</t>
  </si>
  <si>
    <t>Comprehensive transition and postsecondary program for students with intellectual disabilities</t>
  </si>
  <si>
    <t>Independent study</t>
  </si>
  <si>
    <t>Cross-registration</t>
  </si>
  <si>
    <t>Internships</t>
  </si>
  <si>
    <t>Distance learning</t>
  </si>
  <si>
    <t>Liberal arts/career combination</t>
  </si>
  <si>
    <t>Double major</t>
  </si>
  <si>
    <t>Student-designed major</t>
  </si>
  <si>
    <t>Dual enrollment</t>
  </si>
  <si>
    <t>Study abroad</t>
  </si>
  <si>
    <t>English as a Second Language (ESL)</t>
  </si>
  <si>
    <t>Teacher certification program</t>
  </si>
  <si>
    <t>Exchange student program (domestic)</t>
  </si>
  <si>
    <t>Undergraduate Research</t>
  </si>
  <si>
    <t>External degree program</t>
  </si>
  <si>
    <t>Weekend college</t>
  </si>
  <si>
    <t xml:space="preserve">If other, 
please specify: </t>
  </si>
  <si>
    <t xml:space="preserve">E2. Removed from the CDS. </t>
  </si>
  <si>
    <t>E3. Required Coursework for Graduation</t>
  </si>
  <si>
    <r>
      <rPr>
        <rFont val="Calibri"/>
        <color theme="1"/>
        <sz val="12.0"/>
      </rPr>
      <t xml:space="preserve">Please indicate the areas in which all, or most, students are required to complete some course work prior to graduation: 
</t>
    </r>
    <r>
      <rPr>
        <rFont val="Calibri"/>
        <i/>
        <color theme="1"/>
        <sz val="12.0"/>
      </rPr>
      <t>Select all that apply.</t>
    </r>
  </si>
  <si>
    <t>Arts / fine arts</t>
  </si>
  <si>
    <t>Intensive Writing</t>
  </si>
  <si>
    <t>Computer literacy</t>
  </si>
  <si>
    <t>English (including composition)</t>
  </si>
  <si>
    <t>Philosophy</t>
  </si>
  <si>
    <t>Foreign languages</t>
  </si>
  <si>
    <t>Physical Education</t>
  </si>
  <si>
    <t>Sciences (biological or physical)</t>
  </si>
  <si>
    <t>Humanities</t>
  </si>
  <si>
    <t>Social Science</t>
  </si>
  <si>
    <t xml:space="preserve">If "Other" selected, please specify below: </t>
  </si>
  <si>
    <t>American Cultures, International Studies</t>
  </si>
  <si>
    <t>END OF SECTION E</t>
  </si>
  <si>
    <t>F. STUDENT LIFE</t>
  </si>
  <si>
    <t>F1. First-time, first-year degree-seeking students and undergraduates enrolled</t>
  </si>
  <si>
    <t xml:space="preserve">Please complete the table below with the percentages or average age of first-time, first-year degree-seeking students and degree-seeking undergraduates enrolled in Fall 2023 who fit into the following categories: </t>
  </si>
  <si>
    <t>First-time, 
First-year Students</t>
  </si>
  <si>
    <t>Undergraduates</t>
  </si>
  <si>
    <t>Percent who are from out of state (exclude international/
non-residents from the numerator and denominator)</t>
  </si>
  <si>
    <t>Percent of men who join fraternities</t>
  </si>
  <si>
    <t>Percent of women who join sororities</t>
  </si>
  <si>
    <t>Percent of Unknown/Nonbinary students who join sororities or fraternities</t>
  </si>
  <si>
    <t>Percent who live in college-owned, -operated, or -affiliated housing</t>
  </si>
  <si>
    <t>Percent who live off campus or commute</t>
  </si>
  <si>
    <t xml:space="preserve">Percent of students age 25 or older </t>
  </si>
  <si>
    <t>Average age of full-time students</t>
  </si>
  <si>
    <t xml:space="preserve">Average age of all students (full-time and part-time) </t>
  </si>
  <si>
    <t>F2. Activities Offered</t>
  </si>
  <si>
    <t xml:space="preserve">Please identify all programs available at your institution. </t>
  </si>
  <si>
    <t>Campus Ministries</t>
  </si>
  <si>
    <t>Choral groups</t>
  </si>
  <si>
    <t>Concert band</t>
  </si>
  <si>
    <t>Dance</t>
  </si>
  <si>
    <t>Drama/theater</t>
  </si>
  <si>
    <t>Internaltional Student Organization</t>
  </si>
  <si>
    <t>Jazz band</t>
  </si>
  <si>
    <t>Literary magazine</t>
  </si>
  <si>
    <t>Marching band</t>
  </si>
  <si>
    <t>Model UN</t>
  </si>
  <si>
    <t>Music ensembles</t>
  </si>
  <si>
    <t>Opera</t>
  </si>
  <si>
    <t>Pep band</t>
  </si>
  <si>
    <t>Radio Station</t>
  </si>
  <si>
    <r>
      <rPr>
        <rFont val="Calibri"/>
        <b/>
        <color theme="1"/>
        <sz val="14.0"/>
      </rPr>
      <t xml:space="preserve">F3. ROTC (program offered in cooperation with Reserve Officers' Training Corps) </t>
    </r>
    <r>
      <rPr>
        <rFont val="Calibri (Body)"/>
        <b val="0"/>
        <i/>
        <color theme="1"/>
        <sz val="12.0"/>
      </rPr>
      <t>select all that apply.</t>
    </r>
  </si>
  <si>
    <r>
      <rPr>
        <rFont val="Calibri"/>
        <color theme="1"/>
      </rPr>
      <t xml:space="preserve">Army ROTC is offered:   </t>
    </r>
    <r>
      <rPr>
        <rFont val="Calibri"/>
        <b/>
        <color theme="1"/>
      </rPr>
      <t>On Campus</t>
    </r>
  </si>
  <si>
    <t xml:space="preserve">If at cooperating institution, please list institution below: </t>
  </si>
  <si>
    <r>
      <rPr>
        <rFont val="Calibri"/>
        <color theme="1"/>
      </rPr>
      <t xml:space="preserve">Naval ROTC is offered:  </t>
    </r>
    <r>
      <rPr>
        <rFont val="Calibri"/>
        <b/>
        <color theme="1"/>
      </rPr>
      <t>Marine Option and On Campus</t>
    </r>
  </si>
  <si>
    <r>
      <rPr>
        <rFont val="Calibri"/>
        <color theme="1"/>
      </rPr>
      <t xml:space="preserve">Air Force ROTC is offered: </t>
    </r>
    <r>
      <rPr>
        <rFont val="Calibri"/>
        <b/>
        <color theme="1"/>
      </rPr>
      <t>On Campus</t>
    </r>
  </si>
  <si>
    <t>F4. Housing</t>
  </si>
  <si>
    <t>Please check all types of college-owned, -operated, or -affiliated housing available for undergraduates at your institution.</t>
  </si>
  <si>
    <t>Apartments for married students</t>
  </si>
  <si>
    <t>Apartments for single students</t>
  </si>
  <si>
    <t>Coed residence halls</t>
  </si>
  <si>
    <t>Cooperative housing</t>
  </si>
  <si>
    <t>Fraternity/sorority housing</t>
  </si>
  <si>
    <t>Living Learning Communities</t>
  </si>
  <si>
    <t>Men's residence halls</t>
  </si>
  <si>
    <t>*Some dorms contain all male floors</t>
  </si>
  <si>
    <t>Special housing for international students</t>
  </si>
  <si>
    <t>Special housing for students with disabilities</t>
  </si>
  <si>
    <t>Theme housing</t>
  </si>
  <si>
    <t>Women's residence halls</t>
  </si>
  <si>
    <t>Other Housing Options</t>
  </si>
  <si>
    <t xml:space="preserve">If selected "Other Housing Options", please specify below: </t>
  </si>
  <si>
    <t>Offers apartments for students with children. Offers wellness housing</t>
  </si>
  <si>
    <t>END OF SECTION F</t>
  </si>
  <si>
    <t>G. ANNUAL EXPENSES</t>
  </si>
  <si>
    <t>**Updated August 2024</t>
  </si>
  <si>
    <t xml:space="preserve">G0. Net Price Calculator URL </t>
  </si>
  <si>
    <t xml:space="preserve">Please provide the URL of your instititution's net price calculator: </t>
  </si>
  <si>
    <t>https://saservices.berkeley.edu/calculator/</t>
  </si>
  <si>
    <t xml:space="preserve">For the following sections, please provide 2024-2025 academic year costs of attendance for the following categories that are applicable to your institution. 
If your institution's 2024-2025 academic year costs of attendance are not available at this time, please select the checkbox below and enter the approximate date (i.e. MM/DD) when your institution's final 2024-2025 academic year costs of attendance will be available. </t>
  </si>
  <si>
    <t xml:space="preserve">Tuition and Fee Data Provided are: </t>
  </si>
  <si>
    <t>Firm and Final</t>
  </si>
  <si>
    <t xml:space="preserve">Approximate date costs will be available: </t>
  </si>
  <si>
    <t>G1. Undergraduate, full-time tuition, required fees, food and housing</t>
  </si>
  <si>
    <r>
      <rPr>
        <rFont val="Times New Roman"/>
        <color rgb="FF000000"/>
        <sz val="12.0"/>
      </rPr>
      <t xml:space="preserve">List the typical tuition, required fees, and food and housing for a full-time undergraduate student for the </t>
    </r>
    <r>
      <rPr>
        <rFont val="Times New Roman"/>
        <b/>
        <color rgb="FF000000"/>
        <sz val="12.0"/>
      </rPr>
      <t xml:space="preserve">full 2024-2025 </t>
    </r>
    <r>
      <rPr>
        <rFont val="Times New Roman"/>
        <color rgb="FF000000"/>
        <sz val="12.0"/>
      </rPr>
      <t xml:space="preserve">academic year. (30 semester hours or 45 quarter hours for institutions that derive annual tuition by multiplying credit hour cost by number of credits). </t>
    </r>
  </si>
  <si>
    <r>
      <rPr>
        <rFont val="Noto Sans Symbols"/>
        <color rgb="FF000000"/>
        <sz val="12.0"/>
      </rPr>
      <t>ü</t>
    </r>
    <r>
      <rPr>
        <rFont val="Times New Roman"/>
        <color rgb="FF000000"/>
        <sz val="7.0"/>
      </rPr>
      <t xml:space="preserve">  </t>
    </r>
    <r>
      <rPr>
        <rFont val="Times New Roman"/>
        <color rgb="FF000000"/>
        <sz val="12.0"/>
      </rPr>
      <t xml:space="preserve">A full academic year refers to the period of time generally extending from September to June; usually equated to two semesters, two trimesters, three quarters, or the period covered by a four-one-four plan. </t>
    </r>
  </si>
  <si>
    <r>
      <rPr>
        <rFont val="Noto Sans Symbols"/>
        <color rgb="FF000000"/>
        <sz val="12.0"/>
      </rPr>
      <t>ü</t>
    </r>
    <r>
      <rPr>
        <rFont val="Times New Roman"/>
        <color rgb="FF000000"/>
        <sz val="7.0"/>
      </rPr>
      <t xml:space="preserve">  </t>
    </r>
    <r>
      <rPr>
        <rFont val="Times New Roman"/>
        <color rgb="FF000000"/>
        <sz val="12.0"/>
      </rPr>
      <t xml:space="preserve">Food and housing is defined as double occupancy and 19 meals per week or the maximum meal plan. </t>
    </r>
  </si>
  <si>
    <r>
      <rPr>
        <rFont val="Noto Sans Symbols"/>
        <color rgb="FF000000"/>
        <sz val="12.0"/>
      </rPr>
      <t>ü</t>
    </r>
    <r>
      <rPr>
        <rFont val="Times New Roman"/>
        <color rgb="FF000000"/>
        <sz val="7.0"/>
      </rPr>
      <t xml:space="preserve">  </t>
    </r>
    <r>
      <rPr>
        <rFont val="Times New Roman"/>
        <b/>
        <color rgb="FF000000"/>
        <sz val="12.0"/>
      </rPr>
      <t>Required fees</t>
    </r>
    <r>
      <rPr>
        <rFont val="Times New Roman"/>
        <color rgb="FF000000"/>
        <sz val="12.0"/>
      </rPr>
      <t xml:space="preserve"> include only charges that all full-time students must pay that are </t>
    </r>
    <r>
      <rPr>
        <rFont val="Times New Roman"/>
        <b/>
        <i/>
        <color rgb="FF000000"/>
        <sz val="12.0"/>
      </rPr>
      <t>not</t>
    </r>
    <r>
      <rPr>
        <rFont val="Times New Roman"/>
        <color rgb="FF000000"/>
        <sz val="12.0"/>
      </rPr>
      <t xml:space="preserve"> included in tuition (e.g., registration, health, or activity fees.) </t>
    </r>
  </si>
  <si>
    <r>
      <rPr>
        <rFont val="Noto Sans Symbols"/>
        <color rgb="FF000000"/>
        <sz val="12.0"/>
      </rPr>
      <t>ü</t>
    </r>
    <r>
      <rPr>
        <rFont val="Times New Roman"/>
        <color rgb="FF000000"/>
        <sz val="7.0"/>
      </rPr>
      <t xml:space="preserve">  </t>
    </r>
    <r>
      <rPr>
        <rFont val="Times New Roman"/>
        <color rgb="FF000000"/>
        <sz val="12.0"/>
      </rPr>
      <t xml:space="preserve">Do </t>
    </r>
    <r>
      <rPr>
        <rFont val="Times New Roman"/>
        <b/>
        <i/>
        <color rgb="FF000000"/>
        <sz val="12.0"/>
      </rPr>
      <t>not</t>
    </r>
    <r>
      <rPr>
        <rFont val="Times New Roman"/>
        <color rgb="FF000000"/>
        <sz val="12.0"/>
      </rPr>
      <t xml:space="preserve"> include optional fees (e.g., parking, laboratory use).</t>
    </r>
  </si>
  <si>
    <t>First-Year</t>
  </si>
  <si>
    <t>PRIVATE INSTITUTION</t>
  </si>
  <si>
    <t xml:space="preserve">Tuition: </t>
  </si>
  <si>
    <t>PUBLIC INSTITUTION</t>
  </si>
  <si>
    <t>Tuition: In-district</t>
  </si>
  <si>
    <t xml:space="preserve">Tuition: In-state (out-of-district): </t>
  </si>
  <si>
    <t>Varies according to cohort year*</t>
  </si>
  <si>
    <t xml:space="preserve">*See https://registrar.berkeley.edu/tuition-fees-residency/tuition-fees/fee-schedule/ </t>
  </si>
  <si>
    <t xml:space="preserve">Tuition: Out-of-state: </t>
  </si>
  <si>
    <t>Tuitition: International (non-resident)</t>
  </si>
  <si>
    <t>FOR ALL INSTITUTIONS</t>
  </si>
  <si>
    <t>Required Fees:</t>
  </si>
  <si>
    <t xml:space="preserve">Food and Housing (on-campus): </t>
  </si>
  <si>
    <t xml:space="preserve">Housing Only (on-campus): </t>
  </si>
  <si>
    <t xml:space="preserve">Food Only (on-campus meal plan): </t>
  </si>
  <si>
    <t xml:space="preserve">If your institution has comprehensive tuition, food and housing fees (and cannot provide separate fee amounts), please enter that comprehensive amount: </t>
  </si>
  <si>
    <t xml:space="preserve">Other tuition or fee information: </t>
  </si>
  <si>
    <t>G2. Credits Per Term</t>
  </si>
  <si>
    <t xml:space="preserve">Please enter the number of credits per term a student can take for the stated full-time tuition: </t>
  </si>
  <si>
    <t xml:space="preserve">Minimum number of credits: </t>
  </si>
  <si>
    <t xml:space="preserve">Maximum number of credits: </t>
  </si>
  <si>
    <t>G3. Tuition and Fee Variance by Year of Study</t>
  </si>
  <si>
    <t xml:space="preserve">Do tuition and fees vary by year of study (e.g. sophomore, junior, senior)? </t>
  </si>
  <si>
    <t>G4. Tuition and Fee Variance by Undergraduate Instructional Program</t>
  </si>
  <si>
    <t xml:space="preserve">Do tuition and fees vary by undergraduate instructional program? </t>
  </si>
  <si>
    <t xml:space="preserve">If yes, what percent of full-time undergraduates pay more than the tuition and fees reported in G1? </t>
  </si>
  <si>
    <t xml:space="preserve">G5. Estimated Expenses for Typical Full-Time Undergraduates </t>
  </si>
  <si>
    <t xml:space="preserve">Please provide estimated expenses for a typical full-time undergraduate student: </t>
  </si>
  <si>
    <t>Residents</t>
  </si>
  <si>
    <t>Commuters 
(living at home)</t>
  </si>
  <si>
    <t xml:space="preserve">Commuters 
(not living at home) </t>
  </si>
  <si>
    <t xml:space="preserve">Books and supplies: </t>
  </si>
  <si>
    <t xml:space="preserve">Housing only: </t>
  </si>
  <si>
    <t xml:space="preserve">Food only: </t>
  </si>
  <si>
    <t xml:space="preserve">Food and housing total* </t>
  </si>
  <si>
    <t xml:space="preserve">Transportation: </t>
  </si>
  <si>
    <t xml:space="preserve">Other expenses: </t>
  </si>
  <si>
    <t xml:space="preserve">*Only enter "Food and housing total" if your institution cannot provide separate food and housing figures for commuters not living at home. </t>
  </si>
  <si>
    <t>G6. Undergraduate Per-Credit-Hour Charges (tuition only)</t>
  </si>
  <si>
    <t xml:space="preserve">Please enter the undergraduate per-credit-hour charges (tuition only) in the applicable institution type and segment of students: </t>
  </si>
  <si>
    <t>PRIVATE INSTITUTIONS</t>
  </si>
  <si>
    <t xml:space="preserve">Per-credit-hour charge (tuition only): </t>
  </si>
  <si>
    <t>PUBLIC INSTITUTIONS</t>
  </si>
  <si>
    <t xml:space="preserve">In-district students, per-credit-hour charge (tuition only): </t>
  </si>
  <si>
    <t xml:space="preserve">In-state (out-of-district) students, per-credit-hour charge (tuition only): </t>
  </si>
  <si>
    <t>Out-of-state students, per-credit-hour charge (tuition only):</t>
  </si>
  <si>
    <t>International (non-resident) students, per-credit-hour charge (tuition only):</t>
  </si>
  <si>
    <t>END OF SECTION G</t>
  </si>
  <si>
    <t xml:space="preserve">H. FINANCIAL AID </t>
  </si>
  <si>
    <r>
      <rPr>
        <rFont val="Calibri"/>
        <color theme="1"/>
        <sz val="12.0"/>
      </rPr>
      <t xml:space="preserve">
</t>
    </r>
    <r>
      <rPr>
        <rFont val="Calibri"/>
        <b/>
        <color theme="1"/>
        <sz val="12.0"/>
      </rPr>
      <t>Please refer to the following financial aid definitions when completing Section H.</t>
    </r>
    <r>
      <rPr>
        <rFont val="Calibri"/>
        <color theme="1"/>
        <sz val="12.0"/>
      </rPr>
      <t xml:space="preserve">
</t>
    </r>
    <r>
      <rPr>
        <rFont val="Calibri"/>
        <b/>
        <color theme="1"/>
        <sz val="12.0"/>
      </rPr>
      <t>Awarded aid:</t>
    </r>
    <r>
      <rPr>
        <rFont val="Calibri"/>
        <color theme="1"/>
        <sz val="12.0"/>
      </rPr>
      <t xml:space="preserve"> The dollar amounts offered to financial aid applicants.
</t>
    </r>
    <r>
      <rPr>
        <rFont val="Calibri"/>
        <b/>
        <color theme="1"/>
        <sz val="12.0"/>
      </rPr>
      <t>Financial aid applicant:</t>
    </r>
    <r>
      <rPr>
        <rFont val="Calibri"/>
        <color theme="1"/>
        <sz val="12.0"/>
      </rPr>
      <t xml:space="preserve"> Any applicant who submits any one of the institutionally required financial aid applications/forms, such as the FAFSA. 
</t>
    </r>
    <r>
      <rPr>
        <rFont val="Calibri"/>
        <b/>
        <color theme="1"/>
        <sz val="12.0"/>
      </rPr>
      <t xml:space="preserve">Indebtedness: </t>
    </r>
    <r>
      <rPr>
        <rFont val="Calibri"/>
        <color theme="1"/>
        <sz val="12.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Institutional scholarships and grants: Endowed scholarships, annual gifts and tuition funded grants for which the institution determines the recipient.
</t>
    </r>
    <r>
      <rPr>
        <rFont val="Calibri"/>
        <b/>
        <color theme="1"/>
        <sz val="12.0"/>
      </rPr>
      <t>Financial need:</t>
    </r>
    <r>
      <rPr>
        <rFont val="Calibri"/>
        <color theme="1"/>
        <sz val="12.0"/>
      </rPr>
      <t xml:space="preserve"> As determined by your institution using the federal methodology and/or your institution's own standards. 
</t>
    </r>
    <r>
      <rPr>
        <rFont val="Calibri"/>
        <b/>
        <color theme="1"/>
        <sz val="12.0"/>
      </rPr>
      <t xml:space="preserve">Need-based aid: </t>
    </r>
    <r>
      <rPr>
        <rFont val="Calibri"/>
        <color theme="1"/>
        <sz val="12.0"/>
      </rPr>
      <t xml:space="preserve">College-funded or college-administered award from institutional, state, federal, or other sources for which a student must have financial need to qualify. This includes both institutional and non-institutional student aid (grants, jobs, and loans).
</t>
    </r>
    <r>
      <rPr>
        <rFont val="Calibri"/>
        <b/>
        <color theme="1"/>
        <sz val="12.0"/>
      </rPr>
      <t xml:space="preserve">Need-based scholarship or grant aid: </t>
    </r>
    <r>
      <rPr>
        <rFont val="Calibri"/>
        <color theme="1"/>
        <sz val="12.0"/>
      </rPr>
      <t xml:space="preserve">Scholarships and grants from institutional, state, federal, or other sources for which a student must have financial need to qualify.
</t>
    </r>
    <r>
      <rPr>
        <rFont val="Calibri"/>
        <b/>
        <color theme="1"/>
        <sz val="12.0"/>
      </rPr>
      <t xml:space="preserve">Need-based self-help aid: </t>
    </r>
    <r>
      <rPr>
        <rFont val="Calibri"/>
        <color theme="1"/>
        <sz val="12.0"/>
      </rPr>
      <t xml:space="preserve">Loans and jobs from institutional, state, federal, or other sources for which a student must demonstrate financial need to qualify.
</t>
    </r>
    <r>
      <rPr>
        <rFont val="Calibri"/>
        <b/>
        <color theme="1"/>
        <sz val="12.0"/>
      </rPr>
      <t>Non-need-based scholarship or grant aid:</t>
    </r>
    <r>
      <rPr>
        <rFont val="Calibri"/>
        <color theme="1"/>
        <sz val="12.0"/>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</si>
  <si>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Calibri"/>
        <b/>
        <color rgb="FF000000"/>
        <sz val="12.0"/>
      </rPr>
      <t xml:space="preserve">Note: Suggested order of precedence for counting non-need money as need-based:
</t>
    </r>
    <r>
      <rPr>
        <rFont val="Calibri"/>
        <b val="0"/>
        <color rgb="FF000000"/>
        <sz val="12.0"/>
      </rPr>
      <t xml:space="preserve">1.	Non-need institutional grants                  6.    Non-need outside grants
2.	Non-need tuition waivers                         7.    Non-need student loans 
3.	Non-need athletic awards                        8.    Non-need parent loans
4.	Non-need federal grants                          9.    Non-need work
5.	Non-need state grants                               
</t>
    </r>
    <r>
      <rPr>
        <rFont val="Calibri"/>
        <b/>
        <color rgb="FF000000"/>
        <sz val="12.0"/>
      </rPr>
      <t xml:space="preserve"> 
Non-need-based self-help aid:</t>
    </r>
    <r>
      <rPr>
        <rFont val="Calibri"/>
        <b val="0"/>
        <color rgb="FF000000"/>
        <sz val="12.0"/>
      </rPr>
      <t xml:space="preserve"> Loans and jobs from institutional, state, or other sources for which a student need not demonstrate financial need to qualify.
</t>
    </r>
    <r>
      <rPr>
        <rFont val="Calibri"/>
        <b/>
        <color rgb="FF000000"/>
        <sz val="12.0"/>
      </rPr>
      <t>Private student loans:</t>
    </r>
    <r>
      <rPr>
        <rFont val="Calibri"/>
        <b val="0"/>
        <color rgb="FF000000"/>
        <sz val="12.0"/>
      </rPr>
      <t xml:space="preserve"> A nonfederal loan made by a lender such as a bank, credit union or private lender used to pay for up to the annual cost of education, less any financial aid received.
</t>
    </r>
    <r>
      <rPr>
        <rFont val="Calibri"/>
        <b/>
        <color rgb="FF000000"/>
        <sz val="12.0"/>
      </rPr>
      <t>External scholarships and grants:</t>
    </r>
    <r>
      <rPr>
        <rFont val="Calibri"/>
        <b val="0"/>
        <color rgb="FF000000"/>
        <sz val="12.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
</t>
    </r>
    <r>
      <rPr>
        <rFont val="Calibri"/>
        <b/>
        <color rgb="FF000000"/>
        <sz val="12.0"/>
      </rPr>
      <t>Work study and employment:</t>
    </r>
    <r>
      <rPr>
        <rFont val="Calibri"/>
        <b val="0"/>
        <color rgb="FF000000"/>
        <sz val="12.0"/>
      </rPr>
      <t xml:space="preserve"> Federal and state work study aid, and any employment packaged by your institution in financial aid awards.
</t>
    </r>
  </si>
  <si>
    <t>H1. Aid Awarded to Enrolled Undergraduates</t>
  </si>
  <si>
    <t>Enter total dollar amounts awarded to enrolled full-time and less than full-time degree-seeking undergraduates (using the same cohort reported in CDS Question B1, “total degree-seeking” undergraduates) in the following categories.</t>
  </si>
  <si>
    <t xml:space="preserve">✔️ If the data being reported are final figures for the 2022-2023 academic year, use the 2022-2023 academic year's CDS Question B1 Cohort. </t>
  </si>
  <si>
    <t xml:space="preserve">✔️ Include aid awarded to international students (i.e., those not qualifying for federal aid). </t>
  </si>
  <si>
    <t xml:space="preserve">✔️ Aid that is non-need-based but that was used to meet need should be reported in the need-based aid column.  </t>
  </si>
  <si>
    <t>✔️ For a suggested order of precedence in assigning categories of aid to cover need, see the entry for “non-need-based scholarship or grant aid” on the last page of the definitions section.</t>
  </si>
  <si>
    <t>Do NOT include any aid related to the CARES Act or unique to the COVID-19 pandemic.</t>
  </si>
  <si>
    <r>
      <rPr>
        <rFont val="Calibri"/>
        <color rgb="FF000000"/>
        <sz val="12.0"/>
      </rPr>
      <t xml:space="preserve">Indicate the academic year for which data are reported for </t>
    </r>
    <r>
      <rPr>
        <rFont val="Calibri"/>
        <b/>
        <color rgb="FF000000"/>
        <sz val="12.0"/>
      </rPr>
      <t>items H1</t>
    </r>
    <r>
      <rPr>
        <rFont val="Calibri"/>
        <color rgb="FF000000"/>
        <sz val="12.0"/>
      </rPr>
      <t xml:space="preserve">, </t>
    </r>
    <r>
      <rPr>
        <rFont val="Calibri"/>
        <b/>
        <color rgb="FF000000"/>
        <sz val="12.0"/>
      </rPr>
      <t>H2</t>
    </r>
    <r>
      <rPr>
        <rFont val="Calibri"/>
        <color rgb="FF000000"/>
        <sz val="12.0"/>
      </rPr>
      <t xml:space="preserve">, </t>
    </r>
    <r>
      <rPr>
        <rFont val="Calibri"/>
        <b/>
        <color rgb="FF000000"/>
        <sz val="12.0"/>
      </rPr>
      <t>H2A</t>
    </r>
    <r>
      <rPr>
        <rFont val="Calibri"/>
        <color rgb="FF000000"/>
        <sz val="12.0"/>
      </rPr>
      <t xml:space="preserve">, and </t>
    </r>
    <r>
      <rPr>
        <rFont val="Calibri"/>
        <b/>
        <color rgb="FF000000"/>
        <sz val="12.0"/>
      </rPr>
      <t>H6</t>
    </r>
    <r>
      <rPr>
        <rFont val="Calibri"/>
        <color rgb="FF000000"/>
        <sz val="12.0"/>
      </rPr>
      <t xml:space="preserve"> below:</t>
    </r>
  </si>
  <si>
    <t>2023-2024 Estimated</t>
  </si>
  <si>
    <r>
      <rPr>
        <rFont val="Calibri"/>
        <color theme="1"/>
      </rPr>
      <t xml:space="preserve">Which needs-analysis methodology does your institituion use in awarding institutional aid? </t>
    </r>
    <r>
      <rPr>
        <rFont val="Calibri"/>
        <i/>
        <color theme="1"/>
        <sz val="12.0"/>
      </rPr>
      <t>(formerly CDS - H3)</t>
    </r>
  </si>
  <si>
    <t>Both FM and IM</t>
  </si>
  <si>
    <r>
      <rPr>
        <rFont val="Calibri"/>
        <b/>
        <color theme="1"/>
        <sz val="12.0"/>
      </rPr>
      <t xml:space="preserve">Need-Based
 </t>
    </r>
    <r>
      <rPr>
        <rFont val="Calibri"/>
        <color theme="1"/>
        <sz val="12.0"/>
      </rPr>
      <t xml:space="preserve">(Include non-need based aid use to meet need). </t>
    </r>
  </si>
  <si>
    <r>
      <rPr>
        <rFont val="Calibri"/>
        <b/>
        <color theme="1"/>
        <sz val="12.0"/>
      </rPr>
      <t xml:space="preserve">Non-Need-Based </t>
    </r>
    <r>
      <rPr>
        <rFont val="Calibri"/>
        <color theme="1"/>
        <sz val="12.0"/>
      </rPr>
      <t xml:space="preserve">(Exclude non-need-based aid use to meet need). </t>
    </r>
  </si>
  <si>
    <t>Scholarships / Grants</t>
  </si>
  <si>
    <t>Federal</t>
  </si>
  <si>
    <r>
      <rPr>
        <rFont val="Calibri"/>
        <b/>
        <color theme="1"/>
        <sz val="12.0"/>
      </rPr>
      <t xml:space="preserve">State </t>
    </r>
    <r>
      <rPr>
        <rFont val="Calibri"/>
        <color theme="1"/>
        <sz val="12.0"/>
      </rPr>
      <t>- all states, not only the state in which your institution is located</t>
    </r>
  </si>
  <si>
    <r>
      <rPr>
        <rFont val="Calibri"/>
        <b/>
        <color theme="1"/>
        <sz val="12.0"/>
      </rPr>
      <t>Instititutional</t>
    </r>
    <r>
      <rPr>
        <rFont val="Calibri"/>
        <color theme="1"/>
        <sz val="12.0"/>
      </rPr>
      <t xml:space="preserve"> - Endowed scholarships, annual gifts and tuition funded grants, awarded by the college, excluding athletic aid and tuition waivers (which are reported below) </t>
    </r>
  </si>
  <si>
    <r>
      <rPr>
        <rFont val="Calibri"/>
        <b/>
        <color theme="1"/>
        <sz val="12.0"/>
      </rPr>
      <t>Scholarships/grants from external sources</t>
    </r>
    <r>
      <rPr>
        <rFont val="Calibri"/>
        <color theme="1"/>
        <sz val="12.0"/>
      </rPr>
      <t xml:space="preserve"> (e.g. Kiwanis, National Merit) not awarded by the college </t>
    </r>
  </si>
  <si>
    <t>Total Scholarships/Grants</t>
  </si>
  <si>
    <t>Self Help</t>
  </si>
  <si>
    <r>
      <rPr>
        <rFont val="Calibri"/>
        <b/>
        <color theme="1"/>
        <sz val="12.0"/>
      </rPr>
      <t xml:space="preserve">Student loans from all sources 
</t>
    </r>
    <r>
      <rPr>
        <rFont val="Calibri"/>
        <color theme="1"/>
        <sz val="12.0"/>
      </rPr>
      <t xml:space="preserve">(excluding parent loans) </t>
    </r>
  </si>
  <si>
    <t>Federal Work-Study</t>
  </si>
  <si>
    <r>
      <rPr>
        <rFont val="Calibri"/>
        <b/>
        <color theme="1"/>
        <sz val="12.0"/>
      </rPr>
      <t>State and other (e.g., institutional) work-study/employment</t>
    </r>
    <r>
      <rPr>
        <rFont val="Calibri"/>
        <color theme="1"/>
        <sz val="12.0"/>
      </rPr>
      <t xml:space="preserve"> (Note: excludes Federal Work/Study captured above) </t>
    </r>
  </si>
  <si>
    <t>Total Self-Help</t>
  </si>
  <si>
    <t xml:space="preserve">MISC. </t>
  </si>
  <si>
    <t>Parent Loans</t>
  </si>
  <si>
    <t>Tuition Waivers</t>
  </si>
  <si>
    <t>Athletic Awards</t>
  </si>
  <si>
    <t>H2. Number of Enrolled Students Awarded Aid</t>
  </si>
  <si>
    <t xml:space="preserve">List the number of degree-seeking full-time and less-than-full-time undergraduates who applied for and were awarded financial aid from any source. </t>
  </si>
  <si>
    <t xml:space="preserve">✔️ Aid that is non-need-based but that was used to meet need should be counted as need-based aid. </t>
  </si>
  <si>
    <t xml:space="preserve">✔️ Numbers should reflect the cohort awarded dollars reported in H1. </t>
  </si>
  <si>
    <t xml:space="preserve">✔️ In the chart below, students may be counted in more than one row, and full-time, first-time, first-year students should also be counted as full-time undergraduates. </t>
  </si>
  <si>
    <t xml:space="preserve">✔️ Do not include any aid related to the CARES Act or unique to the COVID-19 pandemic. </t>
  </si>
  <si>
    <t>Full-Time, First-Time, First-Year</t>
  </si>
  <si>
    <t>Full-Time Undergrad. (Include Freshman)</t>
  </si>
  <si>
    <t>Less Than Full-Time Undergrad.</t>
  </si>
  <si>
    <r>
      <rPr>
        <rFont val="Calibri"/>
        <b/>
        <color theme="1"/>
        <sz val="12.0"/>
      </rPr>
      <t>A.</t>
    </r>
    <r>
      <rPr>
        <rFont val="Calibri"/>
        <color theme="1"/>
        <sz val="12.0"/>
      </rPr>
      <t xml:space="preserve"> Number of degree-seeking undergraduate students (CDS Item B1 if reporting on Fall 2023 cohort)</t>
    </r>
  </si>
  <si>
    <r>
      <rPr>
        <rFont val="Calibri"/>
        <b/>
        <color theme="1"/>
        <sz val="12.0"/>
      </rPr>
      <t xml:space="preserve">B. </t>
    </r>
    <r>
      <rPr>
        <rFont val="Calibri"/>
        <color theme="1"/>
        <sz val="12.0"/>
      </rPr>
      <t xml:space="preserve">Number of students in line </t>
    </r>
    <r>
      <rPr>
        <rFont val="Calibri"/>
        <b/>
        <color theme="1"/>
        <sz val="12.0"/>
      </rPr>
      <t>(A)</t>
    </r>
    <r>
      <rPr>
        <rFont val="Calibri"/>
        <color theme="1"/>
        <sz val="12.0"/>
      </rPr>
      <t xml:space="preserve"> who applied for need-based financial aid</t>
    </r>
  </si>
  <si>
    <r>
      <rPr>
        <rFont val="Calibri"/>
        <b/>
        <color theme="1"/>
        <sz val="12.0"/>
      </rPr>
      <t>C.</t>
    </r>
    <r>
      <rPr>
        <rFont val="Calibri"/>
        <color theme="1"/>
        <sz val="12.0"/>
      </rPr>
      <t xml:space="preserve"> Number of students in line </t>
    </r>
    <r>
      <rPr>
        <rFont val="Calibri"/>
        <b/>
        <color theme="1"/>
        <sz val="12.0"/>
      </rPr>
      <t>(B)</t>
    </r>
    <r>
      <rPr>
        <rFont val="Calibri"/>
        <color theme="1"/>
        <sz val="12.0"/>
      </rPr>
      <t xml:space="preserve"> who were determined to have financial need</t>
    </r>
  </si>
  <si>
    <r>
      <rPr>
        <rFont val="Calibri"/>
        <b/>
        <color theme="1"/>
        <sz val="12.0"/>
      </rPr>
      <t>D.</t>
    </r>
    <r>
      <rPr>
        <rFont val="Calibri"/>
        <color theme="1"/>
        <sz val="12.0"/>
      </rPr>
      <t xml:space="preserve"> Number of students in line </t>
    </r>
    <r>
      <rPr>
        <rFont val="Calibri"/>
        <b/>
        <color theme="1"/>
        <sz val="12.0"/>
      </rPr>
      <t>(C)</t>
    </r>
    <r>
      <rPr>
        <rFont val="Calibri"/>
        <color theme="1"/>
        <sz val="12.0"/>
      </rPr>
      <t xml:space="preserve"> who were awarded any financial aid </t>
    </r>
  </si>
  <si>
    <r>
      <rPr>
        <rFont val="Calibri"/>
        <b/>
        <color theme="1"/>
        <sz val="12.0"/>
      </rPr>
      <t>E.</t>
    </r>
    <r>
      <rPr>
        <rFont val="Calibri"/>
        <color theme="1"/>
        <sz val="12.0"/>
      </rPr>
      <t xml:space="preserve"> Number of students in line </t>
    </r>
    <r>
      <rPr>
        <rFont val="Calibri"/>
        <b/>
        <color theme="1"/>
        <sz val="12.0"/>
      </rPr>
      <t>(D)</t>
    </r>
    <r>
      <rPr>
        <rFont val="Calibri"/>
        <color theme="1"/>
        <sz val="12.0"/>
      </rPr>
      <t xml:space="preserve"> who were awarded any need-based scholarship or grant aid </t>
    </r>
  </si>
  <si>
    <r>
      <rPr>
        <rFont val="Calibri"/>
        <b/>
        <color theme="1"/>
        <sz val="12.0"/>
      </rPr>
      <t>F.</t>
    </r>
    <r>
      <rPr>
        <rFont val="Calibri"/>
        <color theme="1"/>
        <sz val="12.0"/>
      </rPr>
      <t xml:space="preserve"> Number of students in line </t>
    </r>
    <r>
      <rPr>
        <rFont val="Calibri"/>
        <b/>
        <color theme="1"/>
        <sz val="12.0"/>
      </rPr>
      <t>(D)</t>
    </r>
    <r>
      <rPr>
        <rFont val="Calibri"/>
        <color theme="1"/>
        <sz val="12.0"/>
      </rPr>
      <t xml:space="preserve"> who were awarded any need-based self-help aid </t>
    </r>
  </si>
  <si>
    <r>
      <rPr>
        <rFont val="Calibri"/>
        <b/>
        <color theme="1"/>
        <sz val="12.0"/>
      </rPr>
      <t>G.</t>
    </r>
    <r>
      <rPr>
        <rFont val="Calibri"/>
        <color theme="1"/>
        <sz val="12.0"/>
      </rPr>
      <t xml:space="preserve"> Number of students in line </t>
    </r>
    <r>
      <rPr>
        <rFont val="Calibri"/>
        <b/>
        <color theme="1"/>
        <sz val="12.0"/>
      </rPr>
      <t>(D)</t>
    </r>
    <r>
      <rPr>
        <rFont val="Calibri"/>
        <color theme="1"/>
        <sz val="12.0"/>
      </rPr>
      <t xml:space="preserve"> who were awarded any non-need-based scholarship or grant aid</t>
    </r>
  </si>
  <si>
    <r>
      <rPr>
        <rFont val="Calibri"/>
        <b/>
        <color theme="1"/>
        <sz val="12.0"/>
      </rPr>
      <t>H.</t>
    </r>
    <r>
      <rPr>
        <rFont val="Calibri"/>
        <color theme="1"/>
        <sz val="12.0"/>
      </rPr>
      <t xml:space="preserve"> Number of students in line </t>
    </r>
    <r>
      <rPr>
        <rFont val="Calibri"/>
        <b/>
        <color theme="1"/>
        <sz val="12.0"/>
      </rPr>
      <t>(D)</t>
    </r>
    <r>
      <rPr>
        <rFont val="Calibri"/>
        <color theme="1"/>
        <sz val="12.0"/>
      </rPr>
      <t xml:space="preserve"> who need was fully met (exclude PLUS loans, unsubsidized loans, and private alternative loans) </t>
    </r>
  </si>
  <si>
    <r>
      <rPr>
        <rFont val="Calibri"/>
        <b/>
        <color theme="1"/>
        <sz val="12.0"/>
      </rPr>
      <t>I.</t>
    </r>
    <r>
      <rPr>
        <rFont val="Calibri"/>
        <color theme="1"/>
        <sz val="12.0"/>
      </rPr>
      <t xml:space="preserve"> On average, the percentage of need that was met of students who were awarded any need-based aid. Exclude any aid that was awarded in excess of need as well as any resources that were awarded to replace EFC (PLUS loans, unsubsidized loans, and private alternative loans). </t>
    </r>
  </si>
  <si>
    <r>
      <rPr>
        <rFont val="Calibri"/>
        <b/>
        <color theme="1"/>
        <sz val="12.0"/>
      </rPr>
      <t xml:space="preserve">J. </t>
    </r>
    <r>
      <rPr>
        <rFont val="Calibri"/>
        <color theme="1"/>
        <sz val="12.0"/>
      </rPr>
      <t xml:space="preserve">The average financial aid package of those in line </t>
    </r>
    <r>
      <rPr>
        <rFont val="Calibri"/>
        <b/>
        <color theme="1"/>
        <sz val="12.0"/>
      </rPr>
      <t>(D)</t>
    </r>
    <r>
      <rPr>
        <rFont val="Calibri"/>
        <color theme="1"/>
        <sz val="12.0"/>
      </rPr>
      <t xml:space="preserve">. Exclude any resources that were awarded to replace EFC (PLUS loans, unsubsidized loans, and private alternative loans). </t>
    </r>
  </si>
  <si>
    <r>
      <rPr>
        <rFont val="Calibri"/>
        <b/>
        <color theme="1"/>
        <sz val="12.0"/>
      </rPr>
      <t>K.</t>
    </r>
    <r>
      <rPr>
        <rFont val="Calibri"/>
        <color theme="1"/>
        <sz val="12.0"/>
      </rPr>
      <t xml:space="preserve"> Average need-based scholarship or grant award of those in line </t>
    </r>
    <r>
      <rPr>
        <rFont val="Calibri"/>
        <b/>
        <color theme="1"/>
        <sz val="12.0"/>
      </rPr>
      <t xml:space="preserve">(E) </t>
    </r>
  </si>
  <si>
    <r>
      <rPr>
        <rFont val="Calibri"/>
        <b/>
        <color theme="1"/>
        <sz val="12.0"/>
      </rPr>
      <t xml:space="preserve">L. </t>
    </r>
    <r>
      <rPr>
        <rFont val="Calibri"/>
        <color theme="1"/>
        <sz val="12.0"/>
      </rPr>
      <t>Average need-based self-help award (excluding PLUS loans, unsubsidized loans, and private alternative loans) of those in line</t>
    </r>
    <r>
      <rPr>
        <rFont val="Calibri"/>
        <b/>
        <color theme="1"/>
        <sz val="12.0"/>
      </rPr>
      <t xml:space="preserve"> (F) </t>
    </r>
  </si>
  <si>
    <r>
      <rPr>
        <rFont val="Calibri"/>
        <b/>
        <color theme="1"/>
        <sz val="12.0"/>
      </rPr>
      <t xml:space="preserve">M. </t>
    </r>
    <r>
      <rPr>
        <rFont val="Calibri"/>
        <color theme="1"/>
        <sz val="12.0"/>
      </rPr>
      <t xml:space="preserve">Average need-based loan (excluding PLUS loans, unsubsidized loans, and private alternative loans) of those in line </t>
    </r>
    <r>
      <rPr>
        <rFont val="Calibri"/>
        <b/>
        <color theme="1"/>
        <sz val="12.0"/>
      </rPr>
      <t>(F)</t>
    </r>
    <r>
      <rPr>
        <rFont val="Calibri"/>
        <color theme="1"/>
        <sz val="12.0"/>
      </rPr>
      <t xml:space="preserve"> who were awarded a need-based loan</t>
    </r>
  </si>
  <si>
    <t>H2A. Number of Enrolled Students Awarded Non-Need-Based Scholarships and Grants</t>
  </si>
  <si>
    <t xml:space="preserve">List the number of degree-seeking full-time and less-than-full-time undergraduates who had no financial need and who were awarded institutional non-need-based scholarship or grant aid. </t>
  </si>
  <si>
    <t xml:space="preserve">✔️Numbers should reflect the cohort awarded the dollars reported in H1. </t>
  </si>
  <si>
    <t xml:space="preserve">✔️In the chart below, students may be counted in more than one row, and full-time, first-time, first-year students should also be counted as full-time undergraduates. </t>
  </si>
  <si>
    <t xml:space="preserve">✔️Do not include any aid related to the CARES Act or unique to the COVID-19 pandemic. </t>
  </si>
  <si>
    <r>
      <rPr>
        <rFont val="Calibri"/>
        <b/>
        <color theme="1"/>
        <sz val="12.0"/>
      </rPr>
      <t>N.</t>
    </r>
    <r>
      <rPr>
        <rFont val="Calibri"/>
        <color theme="1"/>
        <sz val="12.0"/>
      </rPr>
      <t xml:space="preserve"> Number of students in line </t>
    </r>
    <r>
      <rPr>
        <rFont val="Calibri"/>
        <b/>
        <color theme="1"/>
        <sz val="12.0"/>
      </rPr>
      <t>(A)</t>
    </r>
    <r>
      <rPr>
        <rFont val="Calibri"/>
        <color theme="1"/>
        <sz val="12.0"/>
      </rPr>
      <t xml:space="preserve"> who had no financial need and who were awarded institutional non-need-based scholarship or grant aid (exclude those who were awarded athletic awards and tuition benefits)</t>
    </r>
  </si>
  <si>
    <r>
      <rPr>
        <rFont val="Calibri"/>
        <b/>
        <color theme="1"/>
        <sz val="12.0"/>
      </rPr>
      <t>O.</t>
    </r>
    <r>
      <rPr>
        <rFont val="Calibri"/>
        <color theme="1"/>
        <sz val="12.0"/>
      </rPr>
      <t xml:space="preserve"> Average dollar amount of institutional non-need-based scholarship and grant aid awarded to students in line </t>
    </r>
    <r>
      <rPr>
        <rFont val="Calibri"/>
        <b/>
        <color theme="1"/>
        <sz val="12.0"/>
      </rPr>
      <t xml:space="preserve">(N) </t>
    </r>
  </si>
  <si>
    <r>
      <rPr>
        <rFont val="Calibri"/>
        <b/>
        <color theme="1"/>
        <sz val="12.0"/>
      </rPr>
      <t>P.</t>
    </r>
    <r>
      <rPr>
        <rFont val="Calibri"/>
        <color theme="1"/>
        <sz val="12.0"/>
      </rPr>
      <t xml:space="preserve"> Number of students in line </t>
    </r>
    <r>
      <rPr>
        <rFont val="Calibri"/>
        <b/>
        <color theme="1"/>
        <sz val="12.0"/>
      </rPr>
      <t>(A)</t>
    </r>
    <r>
      <rPr>
        <rFont val="Calibri"/>
        <color theme="1"/>
        <sz val="12.0"/>
      </rPr>
      <t xml:space="preserve"> who were awarded an instutional non-need-based athletic scholarship or grant</t>
    </r>
  </si>
  <si>
    <r>
      <rPr>
        <rFont val="Calibri"/>
        <b/>
        <color theme="1"/>
        <sz val="12.0"/>
      </rPr>
      <t xml:space="preserve">Q. </t>
    </r>
    <r>
      <rPr>
        <rFont val="Calibri"/>
        <color theme="1"/>
        <sz val="12.0"/>
      </rPr>
      <t>Average dollar amount of institutional non-need-based athletic scholarships and grants awarded to students in line</t>
    </r>
    <r>
      <rPr>
        <rFont val="Calibri"/>
        <b/>
        <color theme="1"/>
        <sz val="12.0"/>
      </rPr>
      <t xml:space="preserve"> (P) </t>
    </r>
  </si>
  <si>
    <t xml:space="preserve">The graduates and loan types to include and exclude in order to fill out CDS H4 and CDS H5 are listed below: </t>
  </si>
  <si>
    <t xml:space="preserve">INCLUDE: </t>
  </si>
  <si>
    <t xml:space="preserve">✔️ 2023 undergraduate class = all students who started at your institution as first-time students and received a bachelor's degree between July 1, 2022 and June 30, 2023. </t>
  </si>
  <si>
    <t xml:space="preserve">✔️ Only loans made to students who borrowed while enrolled at your institution. </t>
  </si>
  <si>
    <t xml:space="preserve">✔️ Co-signed loans. </t>
  </si>
  <si>
    <t xml:space="preserve">EXCLUDE: </t>
  </si>
  <si>
    <t xml:space="preserve">➖ Students who transferred in. </t>
  </si>
  <si>
    <t xml:space="preserve">➖ Money borrowed at other institutions. </t>
  </si>
  <si>
    <t xml:space="preserve">➖ Parent loans. </t>
  </si>
  <si>
    <t xml:space="preserve">➖ Students who did not graduate or who graduated with another degree or certificate (but no bachelor's degree). </t>
  </si>
  <si>
    <t xml:space="preserve">➖ Any aid related to the CARES Act or unique to the COVID-19 pandemic. </t>
  </si>
  <si>
    <t>H4. 2023 Undergraduate Class</t>
  </si>
  <si>
    <t xml:space="preserve">Provide the number of students in the 2023 undergraduate class who started at your institution as first-time students and received a bachelor's degree between July 1, 2022 and June 30, 2023. Exclude students who transferred into your institution. </t>
  </si>
  <si>
    <t>H5. Number/Percent Borrowers and Average Borrowed Amount</t>
  </si>
  <si>
    <t xml:space="preserve">Provide the number and percent of students in class (defined in H4 above) borrowing from federal, non-federal, and any loan sources, and the average (or mean) amount borrowed in the table below. </t>
  </si>
  <si>
    <t xml:space="preserve">The "average per-undergraduate-borrower cumulative principal borrowed" is designed to provide better information about student borrowing from federal and nonfederal (institutional, state, commercial) sources. </t>
  </si>
  <si>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 </t>
  </si>
  <si>
    <t>Source/Type of Loan</t>
  </si>
  <si>
    <t>Number in the class (defined in H4 above) who borrowed from the types of loans specific in the first column</t>
  </si>
  <si>
    <t xml:space="preserve">Percent of the class (defined above) who borrowed from the types of loans specified in the first column (nearest 1%) </t>
  </si>
  <si>
    <t>Average per-undergraduate-borrower cumulative principal borrowed from the types of loans specific in the first column (nearest $1)</t>
  </si>
  <si>
    <r>
      <rPr>
        <rFont val="Calibri"/>
        <b/>
        <color theme="1"/>
        <sz val="12.0"/>
      </rPr>
      <t>A.</t>
    </r>
    <r>
      <rPr>
        <rFont val="Calibri"/>
        <color theme="1"/>
        <sz val="12.0"/>
      </rPr>
      <t xml:space="preserve"> Any loan program: Federal Perkins, Federal Stafford Subsidized and Unsubsidized, institutional, state, private loans that your institution is aware of, etc. Include both Federal Direct Student Loans and Federal Family Education Loans. </t>
    </r>
  </si>
  <si>
    <r>
      <rPr>
        <rFont val="Calibri"/>
        <b/>
        <color theme="1"/>
        <sz val="12.0"/>
      </rPr>
      <t>B.</t>
    </r>
    <r>
      <rPr>
        <rFont val="Calibri"/>
        <color theme="1"/>
        <sz val="12.0"/>
      </rPr>
      <t xml:space="preserve"> Federal loan programs: Federal Perkins, Federal Stafford Subsidized and Unsubsidized. Include both Federal Direct Student Loans and Federal Family Education Loans. </t>
    </r>
  </si>
  <si>
    <r>
      <rPr>
        <rFont val="Calibri"/>
        <b/>
        <color theme="1"/>
        <sz val="12.0"/>
      </rPr>
      <t>C.</t>
    </r>
    <r>
      <rPr>
        <rFont val="Calibri"/>
        <color theme="1"/>
        <sz val="12.0"/>
      </rPr>
      <t xml:space="preserve"> Institutional loan program</t>
    </r>
  </si>
  <si>
    <r>
      <rPr>
        <rFont val="Calibri"/>
        <b/>
        <color theme="1"/>
        <sz val="12.0"/>
      </rPr>
      <t xml:space="preserve">D. </t>
    </r>
    <r>
      <rPr>
        <rFont val="Calibri"/>
        <color theme="1"/>
        <sz val="12.0"/>
      </rPr>
      <t>State loan programs</t>
    </r>
  </si>
  <si>
    <r>
      <rPr>
        <rFont val="Calibri"/>
        <b/>
        <color theme="1"/>
        <sz val="12.0"/>
      </rPr>
      <t>E</t>
    </r>
    <r>
      <rPr>
        <rFont val="Calibri"/>
        <color theme="1"/>
        <sz val="12.0"/>
      </rPr>
      <t>. Private student loans made by a bank or lender</t>
    </r>
  </si>
  <si>
    <t>H6. Aid to Undergraduate Degree-Seeking Nonresidents</t>
  </si>
  <si>
    <t>Report numbers and dollar amounts for the same academic year as checked in item H1.</t>
  </si>
  <si>
    <t xml:space="preserve">H1 Response: </t>
  </si>
  <si>
    <t xml:space="preserve">Indicate your instititution's policy regarding institutional scholarship and grant aid for undergraduate degree-seeking nonresidents: </t>
  </si>
  <si>
    <t>Institutional scholarship or grant aid is not available</t>
  </si>
  <si>
    <t xml:space="preserve">If institutional financial aid is available for undergraduate degree-seeking nonresidents, provide the number of undergraduate degree-seeking nonresidents who were awarded need-based or non-need-based aid: </t>
  </si>
  <si>
    <t xml:space="preserve">Average dollar amount of institutional financial aid awarded to undergraduate degree-seeking nonresidents: </t>
  </si>
  <si>
    <t xml:space="preserve">Total dollar amount of institutional financial aid awarded to undergraduate degree-seeking nonresidents: </t>
  </si>
  <si>
    <t>H7. Process for Nonresident First-Year Students</t>
  </si>
  <si>
    <t xml:space="preserve">Select all financial aid forms that nonresident first-year financial aid applicants must submit: </t>
  </si>
  <si>
    <t>Institution's own finacial aid form</t>
  </si>
  <si>
    <t>CSS Profile</t>
  </si>
  <si>
    <t xml:space="preserve">Other: </t>
  </si>
  <si>
    <t>H8. Process for First-Year Students</t>
  </si>
  <si>
    <t xml:space="preserve">Select all financial aid forms domestic first-year financial aid applicants must submit: </t>
  </si>
  <si>
    <t>x</t>
  </si>
  <si>
    <t>FAFSA</t>
  </si>
  <si>
    <t>Institution's own financial aid form</t>
  </si>
  <si>
    <t>CSS/Financial Aid PROFILE</t>
  </si>
  <si>
    <t>State aid form</t>
  </si>
  <si>
    <t>Noncustodial PROFILE</t>
  </si>
  <si>
    <t>Business/Farm Supplement</t>
  </si>
  <si>
    <t>H9. Filing Dates for First-Year Students</t>
  </si>
  <si>
    <t>Does institution have a deadline for filing required financial aid forms for first-year students?</t>
  </si>
  <si>
    <t xml:space="preserve">Select "no" if there is no deadline and applications are processed on a rolling basis. </t>
  </si>
  <si>
    <t>Priority date for filing required financial aid forms: (MM/DD)</t>
  </si>
  <si>
    <t xml:space="preserve">Deadline for filing required financial aid forms: (MM/DD) </t>
  </si>
  <si>
    <t>H10. Notification Dates for First-Year Students</t>
  </si>
  <si>
    <t xml:space="preserve">Please enter the date for only one response below based on whether students are notified on a certain date or notified on a rolling basis. </t>
  </si>
  <si>
    <t xml:space="preserve">Students are notificed on or about (date): (MM/DD) </t>
  </si>
  <si>
    <t xml:space="preserve">Students are notified on a rolling basis starting (date): (MM/DD) </t>
  </si>
  <si>
    <t>H11. Reply Dates for First-Year Students</t>
  </si>
  <si>
    <t>Students must reply by (date): (MM/DD)</t>
  </si>
  <si>
    <t xml:space="preserve">or within (number) of weeks of notification: </t>
  </si>
  <si>
    <t xml:space="preserve">H12. Types of Aid Available - Loans </t>
  </si>
  <si>
    <t xml:space="preserve">Please select all types of aid available to undergraduates at your institution: </t>
  </si>
  <si>
    <t>Direct Subsidized Stafford Loans</t>
  </si>
  <si>
    <t>Direct Unsubsidized Stafford Loans</t>
  </si>
  <si>
    <t>Direct PLUS Loans</t>
  </si>
  <si>
    <t>Federal Perkins Loans</t>
  </si>
  <si>
    <t>Federal Nursing Loans</t>
  </si>
  <si>
    <t>State Loans</t>
  </si>
  <si>
    <t>College/university loans from institutional funds</t>
  </si>
  <si>
    <t>Please specify:</t>
  </si>
  <si>
    <t>H13. Types of Aid Available - Need-Based Scholarships and Grants</t>
  </si>
  <si>
    <t>Federal Pell</t>
  </si>
  <si>
    <t>SEOG</t>
  </si>
  <si>
    <t>State scholarships/grants</t>
  </si>
  <si>
    <t>Private scholarships</t>
  </si>
  <si>
    <t>College/university scholarship or grant aid from institutional funds</t>
  </si>
  <si>
    <t>United Negro College Fund</t>
  </si>
  <si>
    <t>Federal Nursing Scholarship</t>
  </si>
  <si>
    <t>H14. Criteria Used in Awarding Institutional Aid</t>
  </si>
  <si>
    <r>
      <rPr>
        <rFont val="Calibri"/>
        <color theme="1"/>
      </rPr>
      <t xml:space="preserve">Please select all criteria used in </t>
    </r>
    <r>
      <rPr>
        <rFont val="Calibri (Body)"/>
        <color theme="1"/>
        <sz val="12.0"/>
        <u/>
      </rPr>
      <t>awarding non-need based institutional aid</t>
    </r>
    <r>
      <rPr>
        <rFont val="Calibri"/>
        <color theme="1"/>
        <sz val="12.0"/>
      </rPr>
      <t xml:space="preserve">: </t>
    </r>
  </si>
  <si>
    <t>Non-Need Based</t>
  </si>
  <si>
    <t>Academics</t>
  </si>
  <si>
    <t>Alumni affiliation</t>
  </si>
  <si>
    <t>Art</t>
  </si>
  <si>
    <t>Athletics</t>
  </si>
  <si>
    <t>Job skills</t>
  </si>
  <si>
    <t>ROTC</t>
  </si>
  <si>
    <t>Leadership</t>
  </si>
  <si>
    <t>Minority status</t>
  </si>
  <si>
    <t>Music/drama</t>
  </si>
  <si>
    <t>Religious affiliation</t>
  </si>
  <si>
    <t>State/district residency</t>
  </si>
  <si>
    <r>
      <rPr>
        <rFont val="Calibri"/>
        <color theme="1"/>
      </rPr>
      <t xml:space="preserve">Please select all criteria used in </t>
    </r>
    <r>
      <rPr>
        <rFont val="Calibri (Body)"/>
        <color theme="1"/>
        <sz val="12.0"/>
        <u/>
      </rPr>
      <t>awarding need-based institutional aid</t>
    </r>
    <r>
      <rPr>
        <rFont val="Calibri"/>
        <color theme="1"/>
        <sz val="12.0"/>
      </rPr>
      <t xml:space="preserve">: </t>
    </r>
  </si>
  <si>
    <t>Need-Based</t>
  </si>
  <si>
    <t>H15. Affordable Policies</t>
  </si>
  <si>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 </t>
  </si>
  <si>
    <t>END OF SECTION H</t>
  </si>
  <si>
    <t>I. INSTRUCTIONAL FACULTY AND CLASS SIZE</t>
  </si>
  <si>
    <t>I1. Instructional Faculty by Category</t>
  </si>
  <si>
    <r>
      <rPr>
        <rFont val="Calibri"/>
        <b val="0"/>
        <color rgb="FF000000"/>
        <sz val="12.0"/>
      </rPr>
      <t>Please report the number of instructional faculty members in each category for Fall 2023. Include faculty who are on your institution’s payroll on the census date your institution uses for IPEDS/AAUP.</t>
    </r>
    <r>
      <rPr>
        <rFont val="Calibri"/>
        <b/>
        <color rgb="FF000000"/>
        <sz val="12.0"/>
      </rPr>
      <t xml:space="preserve">
</t>
    </r>
    <r>
      <rPr>
        <rFont val="Calibri"/>
        <b val="0"/>
        <color rgb="FF000000"/>
        <sz val="12.0"/>
      </rPr>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</si>
  <si>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t>Full-Time</t>
  </si>
  <si>
    <t>Part-Time</t>
  </si>
  <si>
    <t>A. Instructional faculty in preclinical and clinical medicine, faculty who are not paid (e.g., those who donate their services or are in the military), or research-only faculty, post-doctoral fellows, or pre-doctoral fellows</t>
  </si>
  <si>
    <t>Exclude</t>
  </si>
  <si>
    <t>Include only if they teach one or more non-clinical credit courses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</si>
  <si>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</si>
  <si>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</si>
  <si>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 xml:space="preserve">Include  </t>
  </si>
  <si>
    <t>D. Undergraduate or graduate students who assist in the instruction of courses, but have titles such as teaching assistant, teaching fellow, and the like</t>
  </si>
  <si>
    <t>E. Faculty on sabbatical or leave with pay</t>
  </si>
  <si>
    <t>Include</t>
  </si>
  <si>
    <t>F. Faculty on leave without pay</t>
  </si>
  <si>
    <t>G. Replacement faculty for faculty on sabbatical leave or leave with pay</t>
  </si>
  <si>
    <r>
      <rPr>
        <rFont val="Calibri"/>
        <b/>
        <i/>
        <color rgb="FF000000"/>
        <sz val="12.0"/>
      </rPr>
      <t>Full-time instructional faculty:</t>
    </r>
    <r>
      <rPr>
        <rFont val="Calibri"/>
        <b val="0"/>
        <i val="0"/>
        <color rgb="FF000000"/>
        <sz val="12.0"/>
      </rPr>
      <t xml:space="preserve"> faculty employed on a full-time basis for instruction (including those with released time for research)</t>
    </r>
    <r>
      <rPr>
        <rFont val="Calibri"/>
        <b/>
        <i/>
        <color rgb="FF000000"/>
        <sz val="12.0"/>
      </rPr>
      <t xml:space="preserve">. 
Part-time instructional faculty: </t>
    </r>
    <r>
      <rPr>
        <rFont val="Calibri"/>
        <b val="0"/>
        <i val="0"/>
        <color rgb="FF000000"/>
        <sz val="12.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</si>
  <si>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Calibri"/>
        <b/>
        <i/>
        <color rgb="FF000000"/>
        <sz val="12.0"/>
      </rPr>
      <t>Minority faculty</t>
    </r>
    <r>
      <rPr>
        <rFont val="Calibri"/>
        <b/>
        <i val="0"/>
        <color rgb="FF000000"/>
        <sz val="12.0"/>
      </rPr>
      <t xml:space="preserve">: </t>
    </r>
    <r>
      <rPr>
        <rFont val="Calibri"/>
        <b val="0"/>
        <i val="0"/>
        <color rgb="FF000000"/>
        <sz val="12.0"/>
      </rPr>
      <t xml:space="preserve">includes faculty who designate themselves as Black, non-Hispanic; American Indian or Alaska Native; Asian, Native Hawaiian or other Pacific Islander, or Hispanic. </t>
    </r>
    <r>
      <rPr>
        <rFont val="Calibri"/>
        <b/>
        <i/>
        <color rgb="FF000000"/>
        <sz val="12.0"/>
      </rPr>
      <t xml:space="preserve">
Doctorate: </t>
    </r>
    <r>
      <rPr>
        <rFont val="Calibri"/>
        <b val="0"/>
        <i val="0"/>
        <color rgb="FF000000"/>
        <sz val="12.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rFont val="Calibri"/>
        <b/>
        <i/>
        <color rgb="FF000000"/>
        <sz val="12.0"/>
      </rPr>
      <t xml:space="preserve">
Terminal master’s degree: </t>
    </r>
    <r>
      <rPr>
        <rFont val="Calibri"/>
        <b val="0"/>
        <i val="0"/>
        <color rgb="FF000000"/>
        <sz val="12.0"/>
      </rPr>
      <t>a master’s degree that is considered the highest degree in a field: example, M. Arch (in architecture) and MFA (master of fine arts in art or theater).</t>
    </r>
  </si>
  <si>
    <t>A. Total number of instructional faculty</t>
  </si>
  <si>
    <t>B. Total number who are members of minority groups</t>
  </si>
  <si>
    <t>C. Total number who are women</t>
  </si>
  <si>
    <t>D. Total number who are men</t>
  </si>
  <si>
    <t xml:space="preserve">E. Total number who are international (non-residents) </t>
  </si>
  <si>
    <t>F. Total number with docorate, or other terminal degrees</t>
  </si>
  <si>
    <t>G. Total number whose highest degree is a master's degree but not a terminal master's</t>
  </si>
  <si>
    <t>H. Total number whose highest degree is a bachelor's</t>
  </si>
  <si>
    <t>I. Total number whose highest degree is unknown or other</t>
  </si>
  <si>
    <t>J. Total number in stand-alone graduate/professional programs in which faculty teach virtually only graduate-level students</t>
  </si>
  <si>
    <t xml:space="preserve">NOTE: Rows F, G, H and I should equal row A. </t>
  </si>
  <si>
    <t>I2. Student to Faculty Ratio</t>
  </si>
  <si>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Do not count undergraduate or graduate student teaching assistants as faculty. 
</t>
  </si>
  <si>
    <t xml:space="preserve">Fall 2023 Student to Faculty Ratio: </t>
  </si>
  <si>
    <t xml:space="preserve">to </t>
  </si>
  <si>
    <t xml:space="preserve">Ratio is based on number of students: </t>
  </si>
  <si>
    <t xml:space="preserve">Ratio is based on number of faculty: </t>
  </si>
  <si>
    <t>I3. Undergraduate Class Size</t>
  </si>
  <si>
    <r>
      <rPr>
        <rFont val="Calibri"/>
        <color rgb="FF000000"/>
        <sz val="12.0"/>
      </rPr>
      <t xml:space="preserve">In the table below, please report information about the size of classes and class sections offered in the Fall 2023 term.
</t>
    </r>
    <r>
      <rPr>
        <rFont val="Calibri"/>
        <b/>
        <color rgb="FF000000"/>
        <sz val="12.0"/>
      </rPr>
      <t>Class Sections:</t>
    </r>
    <r>
      <rPr>
        <rFont val="Calibri"/>
        <color rgb="FF000000"/>
        <sz val="12.0"/>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rFont val="Calibri"/>
        <b/>
        <color rgb="FF000000"/>
        <sz val="12.0"/>
      </rPr>
      <t xml:space="preserve">Class Subsections:  </t>
    </r>
    <r>
      <rPr>
        <rFont val="Calibri"/>
        <color rgb="FF000000"/>
        <sz val="12.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</si>
  <si>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 </t>
  </si>
  <si>
    <t xml:space="preserve">Number of class sections with undergraduates enrolled -- 
Undergraduate Class Size (provide numbers) </t>
  </si>
  <si>
    <t>Class Sections</t>
  </si>
  <si>
    <t>Class Sub-Sections</t>
  </si>
  <si>
    <t xml:space="preserve">2 - 9 </t>
  </si>
  <si>
    <t>10 - 19</t>
  </si>
  <si>
    <t>20 - 29</t>
  </si>
  <si>
    <t>30 - 39</t>
  </si>
  <si>
    <t>40 - 49</t>
  </si>
  <si>
    <t>50 - 99</t>
  </si>
  <si>
    <t xml:space="preserve">100 + </t>
  </si>
  <si>
    <t>END OF SECTION I</t>
  </si>
  <si>
    <t>J. DISCIPLINARY AREAS of DEGREES CONFERRED</t>
  </si>
  <si>
    <t xml:space="preserve">Degrees conferred between July 1, 2022 and June 30, 2023. </t>
  </si>
  <si>
    <r>
      <rPr>
        <rFont val="Calibri"/>
        <color rgb="FF000000"/>
        <sz val="12.0"/>
      </rPr>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rFont val="Calibri"/>
        <color rgb="FF000000"/>
        <sz val="12.0"/>
        <vertAlign val="superscript"/>
      </rPr>
      <t>st</t>
    </r>
    <r>
      <rPr>
        <rFont val="Calibri"/>
        <color rgb="FF000000"/>
        <sz val="12.0"/>
      </rPr>
      <t xml:space="preserve"> and 2</t>
    </r>
    <r>
      <rPr>
        <rFont val="Calibri"/>
        <color rgb="FF000000"/>
        <sz val="12.0"/>
        <vertAlign val="superscript"/>
      </rPr>
      <t>nd</t>
    </r>
    <r>
      <rPr>
        <rFont val="Calibri"/>
        <color rgb="FF000000"/>
        <sz val="12.0"/>
      </rPr>
      <t xml:space="preserve"> majors for each CIP code as the numerator and the sum of the Grand Total by 1st Majors and the Grand Total by 2</t>
    </r>
    <r>
      <rPr>
        <rFont val="Calibri"/>
        <color rgb="FF000000"/>
        <sz val="12.0"/>
        <vertAlign val="superscript"/>
      </rPr>
      <t>nd</t>
    </r>
    <r>
      <rPr>
        <rFont val="Calibri"/>
        <color rgb="FF000000"/>
        <sz val="12.0"/>
      </rPr>
      <t xml:space="preserve"> major as the denominator. If you prefer, you can compute the percentages using 1</t>
    </r>
    <r>
      <rPr>
        <rFont val="Calibri"/>
        <color rgb="FF000000"/>
        <sz val="12.0"/>
        <vertAlign val="superscript"/>
      </rPr>
      <t>st</t>
    </r>
    <r>
      <rPr>
        <rFont val="Calibri"/>
        <color rgb="FF000000"/>
        <sz val="12.0"/>
      </rPr>
      <t xml:space="preserve"> majors only.</t>
    </r>
  </si>
  <si>
    <t>Category</t>
  </si>
  <si>
    <t>Diploma/ Certificates</t>
  </si>
  <si>
    <t>CIP 2020 Categories to Include</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</si>
  <si>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</si>
  <si>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</si>
  <si>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</si>
  <si>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</si>
  <si>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</si>
  <si>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</si>
  <si>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</si>
  <si>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</si>
  <si>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</si>
  <si>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</si>
  <si>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</si>
  <si>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</si>
  <si>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</si>
  <si>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</si>
  <si>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</si>
  <si>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</si>
  <si>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</si>
  <si>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</si>
  <si>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</si>
  <si>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</si>
  <si>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</si>
  <si>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</si>
  <si>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</si>
  <si>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</si>
  <si>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and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</si>
  <si>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</si>
  <si>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</si>
  <si>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</si>
  <si>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</si>
  <si>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</si>
  <si>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</si>
  <si>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</si>
  <si>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</si>
  <si>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</si>
  <si>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</si>
  <si>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</si>
  <si>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</si>
  <si>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</si>
  <si>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</si>
  <si>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</si>
  <si>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</si>
  <si>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</si>
  <si>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END OF SECTION J</t>
  </si>
  <si>
    <t>COMMON DATA SET DEFINITIONS</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</si>
  <si>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</si>
  <si>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</si>
  <si>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 xml:space="preserve">Additional guidance for some terms, particularly those common with the IPEDS survey, may be found here: </t>
  </si>
  <si>
    <t>https://surveys.nces.ed.gov/ipeds/public/glossary</t>
  </si>
  <si>
    <r>
      <rPr>
        <rFont val="Calibri"/>
        <b/>
        <color rgb="FF000000"/>
        <sz val="12.0"/>
      </rPr>
      <t xml:space="preserve">*Academic advisement: </t>
    </r>
    <r>
      <rPr>
        <rFont val="Calibri"/>
        <b val="0"/>
        <color rgb="FF000000"/>
        <sz val="12.0"/>
      </rPr>
      <t>Plan under which each student is assigned to a faculty member or a trained adviser, who, through regular meetings, helps the student plan and implement immediate and long-term academic and vocational goals.</t>
    </r>
  </si>
  <si>
    <r>
      <rPr>
        <rFont val="Calibri"/>
        <b/>
        <color rgb="FF000000"/>
        <sz val="12.0"/>
      </rPr>
      <t xml:space="preserve">Accelerated program: </t>
    </r>
    <r>
      <rPr>
        <rFont val="Calibri"/>
        <b val="0"/>
        <color rgb="FF000000"/>
        <sz val="12.0"/>
      </rPr>
      <t>Completion of a college program of study in fewer than the usual number of years, most often by attending summer sessions and carrying extra courses during the regular academic term</t>
    </r>
    <r>
      <rPr>
        <rFont val="Calibri"/>
        <b/>
        <color rgb="FF000000"/>
        <sz val="12.0"/>
      </rPr>
      <t>.</t>
    </r>
  </si>
  <si>
    <r>
      <rPr>
        <rFont val="Calibri"/>
        <b/>
        <color rgb="FF000000"/>
        <sz val="12.0"/>
      </rPr>
      <t xml:space="preserve">Admitted student: </t>
    </r>
    <r>
      <rPr>
        <rFont val="Calibri"/>
        <b val="0"/>
        <color rgb="FF000000"/>
        <sz val="12.0"/>
      </rPr>
      <t>Applicant who is offered admission to a degree-granting program</t>
    </r>
    <r>
      <rPr>
        <rFont val="Calibri"/>
        <b/>
        <color rgb="FF000000"/>
        <sz val="12.0"/>
      </rPr>
      <t xml:space="preserve"> </t>
    </r>
    <r>
      <rPr>
        <rFont val="Calibri"/>
        <b val="0"/>
        <color rgb="FF000000"/>
        <sz val="12.0"/>
      </rPr>
      <t>at your institution.</t>
    </r>
  </si>
  <si>
    <r>
      <rPr>
        <rFont val="Calibri"/>
        <b/>
        <color rgb="FF000000"/>
        <sz val="12.0"/>
      </rPr>
      <t xml:space="preserve">*Adult student services: </t>
    </r>
    <r>
      <rPr>
        <rFont val="Calibri"/>
        <b val="0"/>
        <color rgb="FF000000"/>
        <sz val="12.0"/>
      </rPr>
      <t>Admission assistance, support, orientation, and other services expressly for adults who have started college for the first time, or who are re-entering after a lapse of a few years.</t>
    </r>
  </si>
  <si>
    <r>
      <rPr>
        <rFont val="Calibri"/>
        <b/>
        <color rgb="FF000000"/>
        <sz val="12.0"/>
      </rPr>
      <t xml:space="preserve">American Indian or Alaska Native: </t>
    </r>
    <r>
      <rPr>
        <rFont val="Calibri"/>
        <b val="0"/>
        <color theme="1"/>
        <sz val="12.0"/>
      </rPr>
      <t>A person having origins in any of the original peoples of North and South America (including Central America) and maintaining tribal affiliation or community attachment.</t>
    </r>
  </si>
  <si>
    <r>
      <rPr>
        <rFont val="Calibri"/>
        <b/>
        <color rgb="FF000000"/>
        <sz val="12.0"/>
      </rPr>
      <t xml:space="preserve">Applicant (first-time, first year): </t>
    </r>
    <r>
      <rPr>
        <rFont val="Calibri"/>
        <b val="0"/>
        <color rgb="FF000000"/>
        <sz val="12.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</si>
  <si>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Calibri"/>
        <b/>
        <color rgb="FF000000"/>
        <sz val="12.0"/>
      </rPr>
      <t xml:space="preserve">Application fee: </t>
    </r>
    <r>
      <rPr>
        <rFont val="Calibri"/>
        <b val="0"/>
        <color rgb="FF000000"/>
        <sz val="12.0"/>
      </rPr>
      <t xml:space="preserve">That amount of money that an institution charges for processing a student’s application for acceptance. This amount is </t>
    </r>
    <r>
      <rPr>
        <rFont val="Calibri"/>
        <b val="0"/>
        <i/>
        <color rgb="FF000000"/>
        <sz val="12.0"/>
      </rPr>
      <t xml:space="preserve">not </t>
    </r>
    <r>
      <rPr>
        <rFont val="Calibri"/>
        <b val="0"/>
        <color rgb="FF000000"/>
        <sz val="12.0"/>
      </rPr>
      <t>creditable toward tuition and required fees, nor is it refundable if the student is not admitted to the institution.</t>
    </r>
  </si>
  <si>
    <r>
      <rPr>
        <rFont val="Calibri"/>
        <b/>
        <color rgb="FF000000"/>
        <sz val="12.0"/>
      </rPr>
      <t>Asian:</t>
    </r>
    <r>
      <rPr>
        <rFont val="Calibri"/>
        <b val="0"/>
        <i/>
        <color rgb="FF000000"/>
        <sz val="12.0"/>
      </rPr>
      <t xml:space="preserve"> </t>
    </r>
    <r>
      <rPr>
        <rFont val="Calibri"/>
        <b val="0"/>
        <color rgb="FF000000"/>
        <sz val="12.0"/>
      </rPr>
      <t>A person having origins in any of the original peoples of the Far East, Southeast Asia, or the Indian subcontinent, including, for example, Cambodia, China, India, Japan, Korea, Malaysia, Pakistan, the Philippine Islands, Thailand, and Vietnam.</t>
    </r>
  </si>
  <si>
    <r>
      <rPr>
        <rFont val="Calibri"/>
        <b/>
        <color rgb="FF000000"/>
        <sz val="12.0"/>
      </rPr>
      <t xml:space="preserve">Associate degree: </t>
    </r>
    <r>
      <rPr>
        <rFont val="Calibri"/>
        <b val="0"/>
        <color rgb="FF000000"/>
        <sz val="12.0"/>
      </rPr>
      <t>An award that normally requires at least two but less than four years of full-time equivalent college work.</t>
    </r>
  </si>
  <si>
    <r>
      <rPr>
        <rFont val="Calibri"/>
        <b/>
        <color rgb="FF000000"/>
        <sz val="12.0"/>
      </rPr>
      <t xml:space="preserve">Bachelor’s degree: </t>
    </r>
    <r>
      <rPr>
        <rFont val="Calibri"/>
        <b val="0"/>
        <color rgb="FF000000"/>
        <sz val="12.0"/>
      </rPr>
      <t xml:space="preserve">An award (baccalaureate or equivalent degree, as determined by the Secretary of the U.S. Department of Education) that normally requires at least four years but </t>
    </r>
    <r>
      <rPr>
        <rFont val="Calibri"/>
        <b val="0"/>
        <i/>
        <color rgb="FF000000"/>
        <sz val="12.0"/>
      </rPr>
      <t>not</t>
    </r>
    <r>
      <rPr>
        <rFont val="Calibri"/>
        <b val="0"/>
        <color rgb="FF000000"/>
        <sz val="12.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</si>
  <si>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Calibri"/>
        <b/>
        <color rgb="FF000000"/>
        <sz val="12.0"/>
      </rPr>
      <t>Black or African American</t>
    </r>
    <r>
      <rPr>
        <rFont val="Calibri"/>
        <b val="0"/>
        <i/>
        <color rgb="FF000000"/>
        <sz val="12.0"/>
      </rPr>
      <t xml:space="preserve">: </t>
    </r>
    <r>
      <rPr>
        <rFont val="Calibri"/>
        <b val="0"/>
        <color rgb="FF000000"/>
        <sz val="12.0"/>
      </rPr>
      <t>A person having origins in any of the black racial groups of Africa.</t>
    </r>
  </si>
  <si>
    <r>
      <rPr>
        <rFont val="Calibri"/>
        <b/>
        <color rgb="FF000000"/>
        <sz val="12.0"/>
      </rPr>
      <t xml:space="preserve">Board (charges): </t>
    </r>
    <r>
      <rPr>
        <rFont val="Calibri"/>
        <b val="0"/>
        <color rgb="FF000000"/>
        <sz val="12.0"/>
      </rPr>
      <t>Assume average cost for 19 meals per week or the maximum meal plan.</t>
    </r>
  </si>
  <si>
    <r>
      <rPr>
        <rFont val="Calibri"/>
        <b/>
        <color rgb="FF000000"/>
        <sz val="12.0"/>
      </rPr>
      <t xml:space="preserve">Books and supplies (costs): </t>
    </r>
    <r>
      <rPr>
        <rFont val="Calibri"/>
        <b val="0"/>
        <color rgb="FF000000"/>
        <sz val="12.0"/>
      </rPr>
      <t>Average cost of books and supplies. Do not include unusual costs for special groups of students (e.g., engineering or art majors), unless they constitute the majority of students at your institution.</t>
    </r>
  </si>
  <si>
    <r>
      <rPr>
        <rFont val="Calibri"/>
        <b/>
        <color rgb="FF000000"/>
        <sz val="12.0"/>
      </rPr>
      <t xml:space="preserve">Calendar system: </t>
    </r>
    <r>
      <rPr>
        <rFont val="Calibri"/>
        <b val="0"/>
        <color rgb="FF000000"/>
        <sz val="12.0"/>
      </rPr>
      <t>The method by which an institution structures most of its courses for the academic year.</t>
    </r>
  </si>
  <si>
    <r>
      <rPr>
        <rFont val="Calibri"/>
        <b/>
        <color theme="1"/>
        <sz val="12.0"/>
      </rPr>
      <t>Campus Ministry:</t>
    </r>
    <r>
      <rPr>
        <rFont val="Calibri"/>
        <b val="0"/>
        <color theme="1"/>
        <sz val="12.0"/>
      </rPr>
      <t xml:space="preserve"> Religious student organizations (denominational or nondenominational) devoted to fostering religious life on college campuses. May also refer to Campus Crusade for Christ, an interdenominational Christian organization.</t>
    </r>
  </si>
  <si>
    <r>
      <rPr>
        <rFont val="Calibri"/>
        <b/>
        <color rgb="FF000000"/>
        <sz val="12.0"/>
      </rPr>
      <t xml:space="preserve">*Career and placement services: </t>
    </r>
    <r>
      <rPr>
        <rFont val="Calibri"/>
        <b val="0"/>
        <color rgb="FF000000"/>
        <sz val="12.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</si>
  <si>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Calibri"/>
        <b/>
        <color rgb="FF000000"/>
        <sz val="12.0"/>
      </rPr>
      <t xml:space="preserve">Carnegie units: </t>
    </r>
    <r>
      <rPr>
        <rFont val="Calibri"/>
        <b val="0"/>
        <color rgb="FF000000"/>
        <sz val="12.0"/>
      </rPr>
      <t>One year of study or the equivalent in a secondary school subject.</t>
    </r>
  </si>
  <si>
    <r>
      <rPr>
        <rFont val="Calibri"/>
        <b/>
        <color rgb="FF000000"/>
        <sz val="12.0"/>
      </rPr>
      <t xml:space="preserve">Certificate: </t>
    </r>
    <r>
      <rPr>
        <rFont val="Calibri"/>
        <b val="0"/>
        <color rgb="FF000000"/>
        <sz val="12.0"/>
      </rPr>
      <t xml:space="preserve">See </t>
    </r>
    <r>
      <rPr>
        <rFont val="Calibri"/>
        <b/>
        <color rgb="FF000000"/>
        <sz val="12.0"/>
      </rPr>
      <t>Postsecondary award, certificate, or diploma.</t>
    </r>
  </si>
  <si>
    <r>
      <rPr>
        <rFont val="Calibri"/>
        <b/>
        <color rgb="FF000000"/>
        <sz val="12.0"/>
      </rPr>
      <t xml:space="preserve">Class rank: </t>
    </r>
    <r>
      <rPr>
        <rFont val="Calibri"/>
        <b val="0"/>
        <color rgb="FF000000"/>
        <sz val="12.0"/>
      </rPr>
      <t>The relative numerical position of a student in his or her graduating class, calculated by the high school on the basis of grade-point average, whether weighted or unweighted.</t>
    </r>
  </si>
  <si>
    <r>
      <rPr>
        <rFont val="Calibri"/>
        <b/>
        <color rgb="FF000000"/>
        <sz val="12.0"/>
      </rPr>
      <t xml:space="preserve">College-preparatory program: </t>
    </r>
    <r>
      <rPr>
        <rFont val="Calibri"/>
        <b val="0"/>
        <color rgb="FF000000"/>
        <sz val="12.0"/>
      </rPr>
      <t xml:space="preserve">Courses in academic subjects (English, history and social studies, foreign languages, mathematics, science, and the arts) that stress preparation for college or university study. </t>
    </r>
  </si>
  <si>
    <r>
      <rPr>
        <rFont val="Calibri"/>
        <b/>
        <color rgb="FF000000"/>
        <sz val="12.0"/>
      </rPr>
      <t xml:space="preserve">Common Application: </t>
    </r>
    <r>
      <rPr>
        <rFont val="Calibri"/>
        <b val="0"/>
        <color rgb="FF000000"/>
        <sz val="12.0"/>
      </rPr>
      <t xml:space="preserve">The standard application form distributed by the National Association of Secondary School Principals for a large number of private colleges who are members of the Common Application Group. </t>
    </r>
  </si>
  <si>
    <r>
      <rPr>
        <rFont val="Calibri"/>
        <b/>
        <color rgb="FF000000"/>
        <sz val="12.0"/>
      </rPr>
      <t xml:space="preserve">*Community service program: </t>
    </r>
    <r>
      <rPr>
        <rFont val="Calibri"/>
        <b val="0"/>
        <color rgb="FF000000"/>
        <sz val="12.0"/>
      </rPr>
      <t>Referral center for students wishing to perform volunteer work in the community or participate in volunteer activities coordinated by academic departments.</t>
    </r>
  </si>
  <si>
    <r>
      <rPr>
        <rFont val="Calibri"/>
        <b/>
        <color rgb="FF000000"/>
        <sz val="12.0"/>
      </rPr>
      <t xml:space="preserve">Commuter: </t>
    </r>
    <r>
      <rPr>
        <rFont val="Calibri"/>
        <b val="0"/>
        <color rgb="FF000000"/>
        <sz val="12.0"/>
      </rPr>
      <t xml:space="preserve">A student who lives off campus in housing that is not owned by, operated by, or affiliated with the college. This category includes students who commute from home and students who have moved to the area to attend college. </t>
    </r>
  </si>
  <si>
    <r>
      <rPr>
        <rFont val="Calibri"/>
        <b/>
        <color rgb="FF000000"/>
        <sz val="12.0"/>
      </rPr>
      <t xml:space="preserve">Comprehensive transition and postsecondary program for students with intellectual disabilities: </t>
    </r>
    <r>
      <rPr>
        <rFont val="Calibri"/>
        <b val="0"/>
        <color rgb="FF000000"/>
        <sz val="12.0"/>
      </rPr>
      <t>Programs designed to support postsecondary students with intellectual disabilities obtain instruction in academic, career and technical, and independent living  subjects in preparation for employment.</t>
    </r>
  </si>
  <si>
    <r>
      <rPr>
        <rFont val="Calibri"/>
        <b/>
        <color rgb="FF000000"/>
        <sz val="12.0"/>
      </rPr>
      <t xml:space="preserve">Clock hour: </t>
    </r>
    <r>
      <rPr>
        <rFont val="Calibri"/>
        <b val="0"/>
        <color rgb="FF000000"/>
        <sz val="12.0"/>
      </rPr>
      <t>A unit of measure that represents an hour of scheduled instruction given to students. Also referred to as contact hour.</t>
    </r>
  </si>
  <si>
    <r>
      <rPr>
        <rFont val="Calibri"/>
        <b/>
        <color rgb="FF000000"/>
        <sz val="12.0"/>
      </rPr>
      <t xml:space="preserve">Continuous basis (for program enrollment): </t>
    </r>
    <r>
      <rPr>
        <rFont val="Calibri"/>
        <b val="0"/>
        <color rgb="FF000000"/>
        <sz val="12.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</si>
  <si>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Calibri"/>
        <b/>
        <color rgb="FF000000"/>
        <sz val="12.0"/>
      </rPr>
      <t xml:space="preserve">Cooperative education program: </t>
    </r>
    <r>
      <rPr>
        <rFont val="Calibri"/>
        <b val="0"/>
        <color rgb="FF000000"/>
        <sz val="12.0"/>
      </rPr>
      <t>A program that provides for alternate class attendance and employment in business, industry, or government.</t>
    </r>
  </si>
  <si>
    <r>
      <rPr>
        <rFont val="Calibri"/>
        <b/>
        <color rgb="FF000000"/>
        <sz val="12.0"/>
      </rPr>
      <t xml:space="preserve">Cooperative housing: </t>
    </r>
    <r>
      <rPr>
        <rFont val="Calibri"/>
        <b val="0"/>
        <color rgb="FF000000"/>
        <sz val="12.0"/>
      </rPr>
      <t>College-owned, -operated, or -affiliated housing in which students share food and housing expenses and participate in household chores to reduce living expenses.</t>
    </r>
  </si>
  <si>
    <r>
      <rPr>
        <rFont val="Calibri"/>
        <b/>
        <color rgb="FF000000"/>
        <sz val="12.0"/>
      </rPr>
      <t xml:space="preserve">*Counseling service: </t>
    </r>
    <r>
      <rPr>
        <rFont val="Calibri"/>
        <b val="0"/>
        <color rgb="FF000000"/>
        <sz val="12.0"/>
      </rPr>
      <t>Activities designed to assist students in making plans and decisions related to their education, career, or personal development.</t>
    </r>
  </si>
  <si>
    <r>
      <rPr>
        <rFont val="Calibri"/>
        <b/>
        <color rgb="FF000000"/>
        <sz val="12.0"/>
      </rPr>
      <t xml:space="preserve">Credit: </t>
    </r>
    <r>
      <rPr>
        <rFont val="Calibri"/>
        <b val="0"/>
        <color rgb="FF000000"/>
        <sz val="12.0"/>
      </rPr>
      <t>Recognition of attendance or performance in an instructional activity (course or program) that can be applied by a recipient toward the requirements for a degree, diploma, certificate, or recognized postsecondary credential.</t>
    </r>
  </si>
  <si>
    <r>
      <rPr>
        <rFont val="Calibri"/>
        <b/>
        <color rgb="FF000000"/>
        <sz val="12.0"/>
      </rPr>
      <t xml:space="preserve">Credit course: </t>
    </r>
    <r>
      <rPr>
        <rFont val="Calibri"/>
        <b val="0"/>
        <color rgb="FF000000"/>
        <sz val="12.0"/>
      </rPr>
      <t>A course that, if successfully completed, can be applied toward the number of courses required for achieving a degree, diploma, certificate, or other recognized postsecondary credential.</t>
    </r>
  </si>
  <si>
    <r>
      <rPr>
        <rFont val="Calibri"/>
        <b/>
        <color rgb="FF000000"/>
        <sz val="12.0"/>
      </rPr>
      <t xml:space="preserve">Credit hour: </t>
    </r>
    <r>
      <rPr>
        <rFont val="Calibri"/>
        <b val="0"/>
        <color rgb="FF000000"/>
        <sz val="12.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</si>
  <si>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Calibri"/>
        <b/>
        <color rgb="FF000000"/>
        <sz val="12.0"/>
      </rPr>
      <t xml:space="preserve">Cross-registration: </t>
    </r>
    <r>
      <rPr>
        <rFont val="Calibri"/>
        <b val="0"/>
        <color rgb="FF000000"/>
        <sz val="12.0"/>
      </rPr>
      <t>A system whereby students enrolled at one institution may take courses at another institution without having to apply to the second institution.</t>
    </r>
  </si>
  <si>
    <r>
      <rPr>
        <rFont val="Calibri"/>
        <b/>
        <color rgb="FF000000"/>
        <sz val="12.0"/>
      </rPr>
      <t xml:space="preserve">Deferred admission: </t>
    </r>
    <r>
      <rPr>
        <rFont val="Calibri"/>
        <b val="0"/>
        <color rgb="FF000000"/>
        <sz val="12.0"/>
      </rPr>
      <t>The practice of permitting admitted students to postpone enrollment, usually for a period of one academic term or one year.</t>
    </r>
  </si>
  <si>
    <r>
      <rPr>
        <rFont val="Calibri"/>
        <b/>
        <color rgb="FF000000"/>
        <sz val="12.0"/>
      </rPr>
      <t xml:space="preserve">Degree: </t>
    </r>
    <r>
      <rPr>
        <rFont val="Calibri"/>
        <b val="0"/>
        <color rgb="FF000000"/>
        <sz val="12.0"/>
      </rPr>
      <t>An award conferred by a college, university, or other postsecondary education institution as official recognition for the successful completion of a program of studies.</t>
    </r>
  </si>
  <si>
    <r>
      <rPr>
        <rFont val="Calibri"/>
        <b/>
        <color rgb="FF000000"/>
        <sz val="12.0"/>
      </rPr>
      <t xml:space="preserve">Degree-seeking students: </t>
    </r>
    <r>
      <rPr>
        <rFont val="Calibri"/>
        <b val="0"/>
        <color rgb="FF000000"/>
        <sz val="12.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</si>
  <si>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Calibri"/>
        <b/>
        <color rgb="FF000000"/>
        <sz val="12.0"/>
      </rPr>
      <t xml:space="preserve">Differs by program (calendar system): </t>
    </r>
    <r>
      <rPr>
        <rFont val="Calibri"/>
        <b val="0"/>
        <color rgb="FF000000"/>
        <sz val="12.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</si>
  <si>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Calibri"/>
        <b/>
        <color rgb="FF000000"/>
        <sz val="12.0"/>
      </rPr>
      <t xml:space="preserve">Diploma: </t>
    </r>
    <r>
      <rPr>
        <rFont val="Calibri"/>
        <b val="0"/>
        <color rgb="FF000000"/>
        <sz val="12.0"/>
      </rPr>
      <t xml:space="preserve">See </t>
    </r>
    <r>
      <rPr>
        <rFont val="Calibri"/>
        <b/>
        <color rgb="FF000000"/>
        <sz val="12.0"/>
      </rPr>
      <t>Postsecondary award, certificate, or diploma.</t>
    </r>
  </si>
  <si>
    <r>
      <rPr>
        <rFont val="Calibri"/>
        <b/>
        <color rgb="FF000000"/>
        <sz val="12.0"/>
      </rPr>
      <t xml:space="preserve">Distance learning: </t>
    </r>
    <r>
      <rPr>
        <rFont val="Calibri"/>
        <b val="0"/>
        <color rgb="FF000000"/>
        <sz val="12.0"/>
      </rPr>
      <t>An option for earning course credit at off-campus locations via cable television, internet, satellite classes, videotapes, correspondence courses, or other means.</t>
    </r>
  </si>
  <si>
    <r>
      <rPr>
        <rFont val="Calibri"/>
        <b/>
        <color theme="1"/>
        <sz val="12.0"/>
      </rPr>
      <t>Doctor’s degree-research/scholarship</t>
    </r>
    <r>
      <rPr>
        <rFont val="Calibri"/>
        <b val="0"/>
        <color theme="1"/>
        <sz val="12.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</si>
  <si>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Calibri"/>
        <b/>
        <color theme="1"/>
        <sz val="12.0"/>
      </rPr>
      <t>Doctor’s degree-professional practice</t>
    </r>
    <r>
      <rPr>
        <rFont val="Calibri"/>
        <b val="0"/>
        <color theme="1"/>
        <sz val="12.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</si>
  <si>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Calibri"/>
        <b/>
        <color theme="1"/>
        <sz val="12.0"/>
      </rPr>
      <t>Doctor’s degree-other</t>
    </r>
    <r>
      <rPr>
        <rFont val="Calibri"/>
        <b val="0"/>
        <color theme="1"/>
        <sz val="12.0"/>
      </rPr>
      <t>: A doctor’s degree that does not meet the definition of a doctor’s degree - research/scholarship or a doctor’s degree - professional practice.</t>
    </r>
  </si>
  <si>
    <r>
      <rPr>
        <rFont val="Calibri"/>
        <b/>
        <color rgb="FF000000"/>
        <sz val="12.0"/>
      </rPr>
      <t xml:space="preserve">Double major: </t>
    </r>
    <r>
      <rPr>
        <rFont val="Calibri"/>
        <b val="0"/>
        <color rgb="FF000000"/>
        <sz val="12.0"/>
      </rPr>
      <t>Program in which students may complete two undergraduate programs of study simultaneously.</t>
    </r>
  </si>
  <si>
    <r>
      <rPr>
        <rFont val="Calibri"/>
        <b/>
        <color rgb="FF000000"/>
        <sz val="12.0"/>
      </rPr>
      <t xml:space="preserve">Dual enrollment: </t>
    </r>
    <r>
      <rPr>
        <rFont val="Calibri"/>
        <b val="0"/>
        <color rgb="FF000000"/>
        <sz val="12.0"/>
      </rPr>
      <t>A program through which high school students may enroll in college courses while still enrolled in high school. Students are not required to apply for admission to the college in order to participate.</t>
    </r>
  </si>
  <si>
    <r>
      <rPr>
        <rFont val="Calibri"/>
        <b/>
        <color rgb="FF000000"/>
        <sz val="12.0"/>
      </rPr>
      <t xml:space="preserve">Early action plan: </t>
    </r>
    <r>
      <rPr>
        <rFont val="Calibri"/>
        <b val="0"/>
        <color rgb="FF000000"/>
        <sz val="12.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</si>
  <si>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Calibri"/>
        <b/>
        <color rgb="FF000000"/>
        <sz val="12.0"/>
      </rPr>
      <t xml:space="preserve">Early admission: </t>
    </r>
    <r>
      <rPr>
        <rFont val="Calibri"/>
        <b val="0"/>
        <color rgb="FF000000"/>
        <sz val="12.0"/>
      </rPr>
      <t>A policy under which students who have not completed high school are admitted and enroll full time in college, usually after completion of their junior year.</t>
    </r>
  </si>
  <si>
    <r>
      <rPr>
        <rFont val="Calibri"/>
        <b/>
        <color rgb="FF000000"/>
        <sz val="12.0"/>
      </rPr>
      <t xml:space="preserve">Early decision plan: </t>
    </r>
    <r>
      <rPr>
        <rFont val="Calibri"/>
        <b val="0"/>
        <color rgb="FF000000"/>
        <sz val="12.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</si>
  <si>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Calibri"/>
        <b/>
        <color rgb="FF000000"/>
        <sz val="12.0"/>
      </rPr>
      <t xml:space="preserve">English as a Second Language (ESL): </t>
    </r>
    <r>
      <rPr>
        <rFont val="Calibri"/>
        <b val="0"/>
        <color rgb="FF000000"/>
        <sz val="12.0"/>
      </rPr>
      <t>A course of study designed specifically for students whose native language is not English.</t>
    </r>
  </si>
  <si>
    <r>
      <rPr>
        <rFont val="Calibri"/>
        <b/>
        <color rgb="FF000000"/>
        <sz val="12.0"/>
      </rPr>
      <t xml:space="preserve">Exchange student program-domestic: </t>
    </r>
    <r>
      <rPr>
        <rFont val="Calibri"/>
        <b val="0"/>
        <color rgb="FF000000"/>
        <sz val="12.0"/>
      </rPr>
      <t>Any arrangement between a student and a college that permits study for a semester or more at another college</t>
    </r>
    <r>
      <rPr>
        <rFont val="Calibri"/>
        <b/>
        <color rgb="FF000000"/>
        <sz val="12.0"/>
      </rPr>
      <t xml:space="preserve"> in the United States </t>
    </r>
    <r>
      <rPr>
        <rFont val="Calibri"/>
        <b val="0"/>
        <color rgb="FF000000"/>
        <sz val="12.0"/>
      </rPr>
      <t xml:space="preserve">without extending the amount of time required for a degree. </t>
    </r>
    <r>
      <rPr>
        <rFont val="Calibri"/>
        <b/>
        <color rgb="FF000000"/>
        <sz val="12.0"/>
      </rPr>
      <t>See also Study abroad</t>
    </r>
    <r>
      <rPr>
        <rFont val="Calibri"/>
        <b val="0"/>
        <color rgb="FF000000"/>
        <sz val="12.0"/>
      </rPr>
      <t>.</t>
    </r>
  </si>
  <si>
    <r>
      <rPr>
        <rFont val="Calibri"/>
        <b/>
        <color rgb="FF000000"/>
        <sz val="12.0"/>
      </rPr>
      <t>External degree program:</t>
    </r>
    <r>
      <rPr>
        <rFont val="Calibri"/>
        <b val="0"/>
        <color rgb="FF000000"/>
        <sz val="12.0"/>
      </rPr>
      <t xml:space="preserve"> A program of study in which students earn credits toward a degree through independent study, college courses, proficiency examinations, and personal experience. External degree programs require minimal or no classroom attendance.</t>
    </r>
  </si>
  <si>
    <r>
      <rPr>
        <rFont val="Calibri"/>
        <b/>
        <color rgb="FF000000"/>
        <sz val="12.0"/>
      </rPr>
      <t xml:space="preserve">Extracurricular activities (as admission factor): </t>
    </r>
    <r>
      <rPr>
        <rFont val="Calibri"/>
        <b val="0"/>
        <color rgb="FF000000"/>
        <sz val="12.0"/>
      </rPr>
      <t>Special consideration in the admissions process given for participation in both school and nonschool-related activities of interest to the college, such as clubs, hobbies, student government, athletics, performing arts, etc.</t>
    </r>
  </si>
  <si>
    <r>
      <rPr>
        <rFont val="Calibri"/>
        <b/>
        <color rgb="FF000000"/>
        <sz val="12.0"/>
      </rPr>
      <t xml:space="preserve">First-time student: </t>
    </r>
    <r>
      <rPr>
        <rFont val="Calibri"/>
        <b val="0"/>
        <color rgb="FF000000"/>
        <sz val="12.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</si>
  <si>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Calibri"/>
        <b/>
        <color rgb="FF000000"/>
        <sz val="12.0"/>
      </rPr>
      <t xml:space="preserve">First-time, first-year student: </t>
    </r>
    <r>
      <rPr>
        <rFont val="Calibri"/>
        <b val="0"/>
        <color rgb="FF000000"/>
        <sz val="12.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</si>
  <si>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Calibri"/>
        <b/>
        <color rgb="FF000000"/>
        <sz val="12.0"/>
      </rPr>
      <t xml:space="preserve">First-year student: </t>
    </r>
    <r>
      <rPr>
        <rFont val="Calibri"/>
        <b val="0"/>
        <color rgb="FF000000"/>
        <sz val="12.0"/>
      </rPr>
      <t>A student who has completed less than the equivalent of 1 full year of undergraduate work; that is, less than 30 semester hours (in a 120-hour degree program) or less than 900 clock hours.</t>
    </r>
  </si>
  <si>
    <r>
      <rPr>
        <rFont val="Calibri"/>
        <b/>
        <color rgb="FF000000"/>
        <sz val="12.0"/>
      </rPr>
      <t xml:space="preserve">*New student orientation: </t>
    </r>
    <r>
      <rPr>
        <rFont val="Calibri"/>
        <b val="0"/>
        <color rgb="FF000000"/>
        <sz val="12.0"/>
      </rPr>
      <t>Orientation addressing the academic, social, emotional, and intellectual issues involved in beginning college. May be a few hours or a few days in length; at some colleges, there is a fee.</t>
    </r>
  </si>
  <si>
    <r>
      <rPr>
        <rFont val="Calibri"/>
        <b/>
        <color rgb="FF000000"/>
        <sz val="12.0"/>
      </rPr>
      <t xml:space="preserve">Full-time student (undergraduate): </t>
    </r>
    <r>
      <rPr>
        <rFont val="Calibri"/>
        <b val="0"/>
        <color rgb="FF000000"/>
        <sz val="12.0"/>
      </rPr>
      <t>A student enrolled for 12 or more semester credits, 12 or more quarter credits, or 24 or more clock hours a week each term.</t>
    </r>
  </si>
  <si>
    <r>
      <rPr>
        <rFont val="Calibri"/>
        <b/>
        <color rgb="FF000000"/>
        <sz val="12.0"/>
      </rPr>
      <t xml:space="preserve">Geographical residence (as admission factor): </t>
    </r>
    <r>
      <rPr>
        <rFont val="Calibri"/>
        <b val="0"/>
        <color rgb="FF000000"/>
        <sz val="12.0"/>
      </rPr>
      <t>Special consideration in the admission process given to students from a particular region, state, or country of residence.</t>
    </r>
  </si>
  <si>
    <r>
      <rPr>
        <rFont val="Calibri"/>
        <b/>
        <color rgb="FF000000"/>
        <sz val="12.0"/>
      </rPr>
      <t xml:space="preserve">Grade-point average (academic high school GPA): </t>
    </r>
    <r>
      <rPr>
        <rFont val="Calibri"/>
        <b val="0"/>
        <color rgb="FF000000"/>
        <sz val="12.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</si>
  <si>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Calibri"/>
        <b/>
        <color rgb="FF000000"/>
        <sz val="12.0"/>
      </rPr>
      <t xml:space="preserve">Graduate student: </t>
    </r>
    <r>
      <rPr>
        <rFont val="Calibri"/>
        <b val="0"/>
        <color rgb="FF000000"/>
        <sz val="12.0"/>
      </rPr>
      <t>A student who holds a bachelor’s or equivalent, and is taking courses at the post-baccalaureate level.</t>
    </r>
  </si>
  <si>
    <r>
      <rPr>
        <rFont val="Calibri"/>
        <b/>
        <color rgb="FF000000"/>
        <sz val="12.0"/>
      </rPr>
      <t xml:space="preserve">*Health services: </t>
    </r>
    <r>
      <rPr>
        <rFont val="Calibri"/>
        <b val="0"/>
        <color rgb="FF000000"/>
        <sz val="12.0"/>
      </rPr>
      <t>Free or low cost on-campus primary and preventive health care available to students.</t>
    </r>
  </si>
  <si>
    <r>
      <rPr>
        <rFont val="Calibri"/>
        <b/>
        <color rgb="FF000000"/>
        <sz val="12.0"/>
      </rPr>
      <t xml:space="preserve">High school diploma or recognized equivalent: </t>
    </r>
    <r>
      <rPr>
        <rFont val="Calibri"/>
        <b val="0"/>
        <color rgb="FF000000"/>
        <sz val="12.0"/>
      </rPr>
      <t>A document certifying the successful completion of a prescribed secondary school program of studies, or the attainment of satisfactory scores on the Tests of General Educational Development (GED), or another state-specified examination.</t>
    </r>
  </si>
  <si>
    <r>
      <rPr>
        <rFont val="Calibri"/>
        <b/>
        <color rgb="FF000000"/>
        <sz val="12.0"/>
      </rPr>
      <t>Hispanic or Latino:</t>
    </r>
    <r>
      <rPr>
        <rFont val="Calibri"/>
        <b val="0"/>
        <i/>
        <color rgb="FF000000"/>
        <sz val="12.0"/>
      </rPr>
      <t xml:space="preserve"> </t>
    </r>
    <r>
      <rPr>
        <rFont val="Calibri"/>
        <b val="0"/>
        <color rgb="FF000000"/>
        <sz val="12.0"/>
      </rPr>
      <t>A person of Mexican, Puerto Rican, Cuban, South or Central American, or other Spanish culture or origin, regardless of race.</t>
    </r>
  </si>
  <si>
    <r>
      <rPr>
        <rFont val="Calibri"/>
        <b/>
        <color rgb="FF000000"/>
        <sz val="12.0"/>
      </rPr>
      <t>Honors program:</t>
    </r>
    <r>
      <rPr>
        <rFont val="Calibri"/>
        <b val="0"/>
        <color rgb="FF000000"/>
        <sz val="12.0"/>
      </rPr>
      <t xml:space="preserve"> Any special program for very able students offering the opportunity for educational enrichment, independent study, acceleration, or some combination of these.</t>
    </r>
    <r>
      <rPr>
        <rFont val="Calibri"/>
        <b/>
        <color rgb="FF000000"/>
        <sz val="12.0"/>
      </rPr>
      <t xml:space="preserve"> </t>
    </r>
  </si>
  <si>
    <r>
      <rPr>
        <rFont val="Calibri"/>
        <b/>
        <color rgb="FF000000"/>
        <sz val="12.0"/>
      </rPr>
      <t xml:space="preserve">Independent study: </t>
    </r>
    <r>
      <rPr>
        <rFont val="Calibri"/>
        <b val="0"/>
        <color rgb="FF000000"/>
        <sz val="12.0"/>
      </rPr>
      <t>Academic work chosen or designed by the student with the approval of the department concerned, under an instructor’s supervision, and usually undertaken outside of the regular classroom structure.</t>
    </r>
  </si>
  <si>
    <r>
      <rPr>
        <rFont val="Calibri"/>
        <b/>
        <color rgb="FF000000"/>
        <sz val="12.0"/>
      </rPr>
      <t xml:space="preserve">In-state tuition: </t>
    </r>
    <r>
      <rPr>
        <rFont val="Calibri"/>
        <b val="0"/>
        <color rgb="FF000000"/>
        <sz val="12.0"/>
      </rPr>
      <t>The tuition charged by institutions to those students who meet the state’s or institution’s residency requirements.</t>
    </r>
  </si>
  <si>
    <r>
      <rPr>
        <rFont val="Calibri"/>
        <b/>
        <color rgb="FF000000"/>
        <sz val="12.0"/>
      </rPr>
      <t xml:space="preserve">International student: </t>
    </r>
    <r>
      <rPr>
        <rFont val="Calibri"/>
        <b val="0"/>
        <color rgb="FF000000"/>
        <sz val="12.0"/>
      </rPr>
      <t>See</t>
    </r>
    <r>
      <rPr>
        <rFont val="Calibri"/>
        <b/>
        <color rgb="FF000000"/>
        <sz val="12.0"/>
      </rPr>
      <t xml:space="preserve"> Nonresident.</t>
    </r>
  </si>
  <si>
    <r>
      <rPr>
        <rFont val="Calibri"/>
        <b/>
        <color rgb="FF000000"/>
        <sz val="12.0"/>
      </rPr>
      <t xml:space="preserve">International student group: </t>
    </r>
    <r>
      <rPr>
        <rFont val="Calibri"/>
        <b val="0"/>
        <color theme="1"/>
        <sz val="12.0"/>
      </rPr>
      <t>Student groups that facilitate cultural dialogue, support a diverse campus, assist international students in acclimation and creating a social network.</t>
    </r>
    <r>
      <rPr>
        <rFont val="Calibri"/>
        <b val="0"/>
        <color rgb="FF0000FF"/>
        <sz val="12.0"/>
      </rPr>
      <t> </t>
    </r>
  </si>
  <si>
    <r>
      <rPr>
        <rFont val="Calibri"/>
        <b/>
        <color rgb="FF000000"/>
        <sz val="12.0"/>
      </rPr>
      <t>Internship:</t>
    </r>
    <r>
      <rPr>
        <rFont val="Calibri"/>
        <b val="0"/>
        <color rgb="FF000000"/>
        <sz val="12.0"/>
      </rPr>
      <t xml:space="preserve"> Any short-term, supervised work experience usually related to a student’s major field, for which the student earns academic credit. The work can be full- or part-time, on- or off-campus, paid or unpaid.</t>
    </r>
  </si>
  <si>
    <r>
      <rPr>
        <rFont val="Calibri"/>
        <b/>
        <color rgb="FF000000"/>
        <sz val="12.0"/>
      </rPr>
      <t xml:space="preserve">*Learning center: </t>
    </r>
    <r>
      <rPr>
        <rFont val="Calibri"/>
        <b val="0"/>
        <color rgb="FF000000"/>
        <sz val="12.0"/>
      </rPr>
      <t>Center offering assistance through tutors, workshops, computer programs, or audiovisual equipment in reading, writing, math, and skills such as taking notes, managing time, taking tests.</t>
    </r>
  </si>
  <si>
    <r>
      <rPr>
        <rFont val="Calibri"/>
        <b/>
        <color rgb="FF000000"/>
        <sz val="12.0"/>
      </rPr>
      <t xml:space="preserve">*Legal services: </t>
    </r>
    <r>
      <rPr>
        <rFont val="Calibri"/>
        <b val="0"/>
        <color rgb="FF000000"/>
        <sz val="12.0"/>
      </rPr>
      <t>Free or low cost legal advice for a range of issues (personal and other).</t>
    </r>
  </si>
  <si>
    <r>
      <rPr>
        <rFont val="Calibri"/>
        <b/>
        <color rgb="FF000000"/>
        <sz val="12.0"/>
      </rPr>
      <t xml:space="preserve">Liberal arts/career combination: </t>
    </r>
    <r>
      <rPr>
        <rFont val="Calibri"/>
        <b val="0"/>
        <color rgb="FF000000"/>
        <sz val="12.0"/>
      </rPr>
      <t>Program in which a student earns undergraduate degrees in two separate fields, one in a liberal arts major and the other in a professional or specialized major, whether on campus or through cross‑registration.</t>
    </r>
  </si>
  <si>
    <r>
      <rPr>
        <rFont val="Calibri"/>
        <b/>
        <color theme="1"/>
        <sz val="12.0"/>
      </rPr>
      <t xml:space="preserve">Living learning community: </t>
    </r>
    <r>
      <rPr>
        <rFont val="Calibri"/>
        <b val="0"/>
        <color theme="1"/>
        <sz val="12.0"/>
      </rPr>
      <t>Residential programs that allow students to interact with students who share common interests. In addition to living together, students may also participate in shared courses, special events, and group service projects.</t>
    </r>
  </si>
  <si>
    <r>
      <rPr>
        <rFont val="Calibri"/>
        <b/>
        <color theme="1"/>
        <sz val="12.0"/>
      </rPr>
      <t>Master's degree</t>
    </r>
    <r>
      <rPr>
        <rFont val="Calibri"/>
        <b val="0"/>
        <color theme="1"/>
        <sz val="12.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</si>
  <si>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Calibri"/>
        <b/>
        <color rgb="FF000000"/>
        <sz val="12.0"/>
      </rPr>
      <t xml:space="preserve">Minority affiliation (as admission factor): </t>
    </r>
    <r>
      <rPr>
        <rFont val="Calibri"/>
        <b val="0"/>
        <color rgb="FF000000"/>
        <sz val="12.0"/>
      </rPr>
      <t>Special consideration in the admission process for members of designated racial/ethnic minority groups.</t>
    </r>
  </si>
  <si>
    <r>
      <rPr>
        <rFont val="Calibri"/>
        <b/>
        <color rgb="FF000000"/>
        <sz val="12.0"/>
      </rPr>
      <t xml:space="preserve">*Minority student center: </t>
    </r>
    <r>
      <rPr>
        <rFont val="Calibri"/>
        <b val="0"/>
        <color rgb="FF000000"/>
        <sz val="12.0"/>
      </rPr>
      <t>Center with programs, activities, and/or services intended to enhance the college experience of students of color.</t>
    </r>
  </si>
  <si>
    <r>
      <rPr>
        <rFont val="Calibri"/>
        <b/>
        <color theme="1"/>
        <sz val="12.0"/>
      </rPr>
      <t xml:space="preserve">Model United Nations: </t>
    </r>
    <r>
      <rPr>
        <rFont val="Calibri"/>
        <b val="0"/>
        <color theme="1"/>
        <sz val="12.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</si>
  <si>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Calibri"/>
        <b/>
        <color rgb="FF000000"/>
        <sz val="12.0"/>
      </rPr>
      <t>Native Hawaiian or Other Pacific Islander:</t>
    </r>
    <r>
      <rPr>
        <rFont val="Calibri"/>
        <b val="0"/>
        <i/>
        <color rgb="FF000000"/>
        <sz val="12.0"/>
      </rPr>
      <t xml:space="preserve"> </t>
    </r>
    <r>
      <rPr>
        <rFont val="Calibri"/>
        <b val="0"/>
        <color rgb="FF000000"/>
        <sz val="12.0"/>
      </rPr>
      <t>A person having origins in any of the original peoples of Hawaii, Guam, Samoa, or other Pacific Islands.</t>
    </r>
  </si>
  <si>
    <r>
      <rPr>
        <rFont val="Calibri"/>
        <b/>
        <color rgb="FF000000"/>
        <sz val="12.0"/>
      </rPr>
      <t xml:space="preserve">Nonresident: </t>
    </r>
    <r>
      <rPr>
        <rFont val="Calibri"/>
        <b val="0"/>
        <color rgb="FF000000"/>
        <sz val="12.0"/>
      </rPr>
      <t>A person who is not a citizen or national of the United States and who is in this country on a visa or temporary basis and does not have the right to remain indefinitely.</t>
    </r>
  </si>
  <si>
    <r>
      <rPr>
        <rFont val="Calibri"/>
        <b/>
        <color rgb="FF000000"/>
        <sz val="12.0"/>
      </rPr>
      <t xml:space="preserve">*On-campus day care: </t>
    </r>
    <r>
      <rPr>
        <rFont val="Calibri"/>
        <b val="0"/>
        <color rgb="FF000000"/>
        <sz val="12.0"/>
      </rPr>
      <t>Licensed day care for students’ children (usually age 3 and up); usually for a fee.</t>
    </r>
  </si>
  <si>
    <r>
      <rPr>
        <rFont val="Calibri"/>
        <b/>
        <color rgb="FF000000"/>
        <sz val="12.0"/>
      </rPr>
      <t xml:space="preserve">Open admission: </t>
    </r>
    <r>
      <rPr>
        <rFont val="Calibri"/>
        <b val="0"/>
        <color rgb="FF000000"/>
        <sz val="12.0"/>
      </rPr>
      <t>Admission policy under which virtually all secondary school graduates or students with GED equivalency diplomas are admitted without regard to academic record, test scores, or other qualifications.</t>
    </r>
  </si>
  <si>
    <r>
      <rPr>
        <rFont val="Calibri"/>
        <b/>
        <color rgb="FF000000"/>
        <sz val="12.0"/>
      </rPr>
      <t xml:space="preserve">Other expenses (costs): </t>
    </r>
    <r>
      <rPr>
        <rFont val="Calibri"/>
        <b val="0"/>
        <color rgb="FF000000"/>
        <sz val="12.0"/>
      </rPr>
      <t>Include average costs for clothing, laundry, entertainment, medical (if not a required fee), and furnishings.</t>
    </r>
  </si>
  <si>
    <r>
      <rPr>
        <rFont val="Calibri"/>
        <b/>
        <color rgb="FF000000"/>
        <sz val="12.0"/>
      </rPr>
      <t xml:space="preserve">Out-of-state tuition: </t>
    </r>
    <r>
      <rPr>
        <rFont val="Calibri"/>
        <b val="0"/>
        <color rgb="FF000000"/>
        <sz val="12.0"/>
      </rPr>
      <t>The tuition charged by institutions to those students who do not meet the institution’s or state’s residency requirements.</t>
    </r>
  </si>
  <si>
    <r>
      <rPr>
        <rFont val="Calibri"/>
        <b/>
        <color rgb="FF000000"/>
        <sz val="12.0"/>
      </rPr>
      <t xml:space="preserve">Part-time student (undergraduate): </t>
    </r>
    <r>
      <rPr>
        <rFont val="Calibri"/>
        <b val="0"/>
        <color rgb="FF000000"/>
        <sz val="12.0"/>
      </rPr>
      <t>A student enrolled for fewer than 12 credits per semester or quarter, or fewer than 24 clock hours a week each term.</t>
    </r>
  </si>
  <si>
    <r>
      <rPr>
        <rFont val="Calibri"/>
        <b/>
        <color rgb="FF000000"/>
        <sz val="12.0"/>
      </rPr>
      <t xml:space="preserve">Permanent Resident or other eligible non-citizen: </t>
    </r>
    <r>
      <rPr>
        <rFont val="Calibri"/>
        <b val="0"/>
        <color rgb="FF000000"/>
        <sz val="12.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</si>
  <si>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Calibri"/>
        <b/>
        <color rgb="FF000000"/>
        <sz val="12.0"/>
      </rPr>
      <t>*Personal counseling</t>
    </r>
    <r>
      <rPr>
        <rFont val="Calibri"/>
        <b val="0"/>
        <color rgb="FF000000"/>
        <sz val="12.0"/>
      </rPr>
      <t>: One-on-one or group counseling with trained professionals for students who want to explore personal, educational, or vocational issues.</t>
    </r>
  </si>
  <si>
    <r>
      <rPr>
        <rFont val="Calibri"/>
        <b/>
        <color rgb="FF000000"/>
        <sz val="12.0"/>
      </rPr>
      <t xml:space="preserve">Post-baccalaureate certificate: </t>
    </r>
    <r>
      <rPr>
        <rFont val="Calibri"/>
        <b val="0"/>
        <color rgb="FF000000"/>
        <sz val="12.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</si>
  <si>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Calibri"/>
        <b/>
        <color rgb="FF000000"/>
        <sz val="12.0"/>
      </rPr>
      <t xml:space="preserve">Post-master’s certificate: </t>
    </r>
    <r>
      <rPr>
        <rFont val="Calibri"/>
        <b val="0"/>
        <color rgb="FF000000"/>
        <sz val="12.0"/>
      </rPr>
      <t>An award that requires completion of an organized program of study of 24 credit hours beyond the master’s degree but does not meet the requirements of academic degrees at the doctoral level.</t>
    </r>
  </si>
  <si>
    <r>
      <rPr>
        <rFont val="Calibri"/>
        <b/>
        <color rgb="FF000000"/>
        <sz val="12.0"/>
      </rPr>
      <t xml:space="preserve">Postsecondary award, certificate, or diploma: </t>
    </r>
    <r>
      <rPr>
        <rFont val="Calibri"/>
        <b val="0"/>
        <color rgb="FF000000"/>
        <sz val="12.0"/>
      </rPr>
      <t>Includes the following three IPEDS definitions for postsecondary awards, certificates, and diplomas of varying durations and credit/contact/clock hour requirements:</t>
    </r>
  </si>
  <si>
    <r>
      <rPr>
        <rFont val="Calibri"/>
        <b/>
        <i/>
        <color rgb="FF000000"/>
        <sz val="12.0"/>
      </rPr>
      <t>Less Than 1 Academic Year</t>
    </r>
    <r>
      <rPr>
        <rFont val="Calibri"/>
        <b val="0"/>
        <i/>
        <color rgb="FF000000"/>
        <sz val="12.0"/>
      </rPr>
      <t>:</t>
    </r>
    <r>
      <rPr>
        <rFont val="Calibri"/>
        <b val="0"/>
        <i val="0"/>
        <color rgb="FF000000"/>
        <sz val="12.0"/>
      </rPr>
      <t xml:space="preserve"> Requires completion of an organized program of study at the postsecondary level (below the baccalaureate degree) in less than 1 academic year (2 semesters or 3 quarters) or in less than 900 clock hours by a student enrolled full-time.</t>
    </r>
  </si>
  <si>
    <r>
      <rPr>
        <rFont val="Calibri"/>
        <b/>
        <i/>
        <color rgb="FF000000"/>
        <sz val="12.0"/>
      </rPr>
      <t>At Least 1 But Less Than 2 Academic Years:</t>
    </r>
    <r>
      <rPr>
        <rFont val="Calibri"/>
        <b val="0"/>
        <i val="0"/>
        <color rgb="FF000000"/>
        <sz val="12.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</si>
  <si>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Calibri"/>
        <b/>
        <i/>
        <color rgb="FF000000"/>
        <sz val="12.0"/>
      </rPr>
      <t>At Least 2 But Less Than 4 Academic Years:</t>
    </r>
    <r>
      <rPr>
        <rFont val="Calibri"/>
        <b val="0"/>
        <i val="0"/>
        <color rgb="FF000000"/>
        <sz val="12.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</si>
  <si>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Calibri"/>
        <b/>
        <color rgb="FF000000"/>
        <sz val="12.0"/>
      </rPr>
      <t xml:space="preserve">Private institution: </t>
    </r>
    <r>
      <rPr>
        <rFont val="Calibri"/>
        <b val="0"/>
        <color rgb="FF000000"/>
        <sz val="12.0"/>
      </rPr>
      <t>An educational institution controlled by a private individual(s) or by a nongovernmental agency, usually supported primarily by other than public funds, and operated by other than publicly elected or appointed officials.</t>
    </r>
  </si>
  <si>
    <r>
      <rPr>
        <rFont val="Calibri"/>
        <b/>
        <color rgb="FF000000"/>
        <sz val="12.0"/>
      </rPr>
      <t xml:space="preserve">Private for-profit institution: </t>
    </r>
    <r>
      <rPr>
        <rFont val="Calibri"/>
        <b val="0"/>
        <color rgb="FF000000"/>
        <sz val="12.0"/>
      </rPr>
      <t>A private institution in which the individual(s) or agency in control receives compensation, other than wages, rent, or other expenses for the assumption of risk.</t>
    </r>
  </si>
  <si>
    <r>
      <rPr>
        <rFont val="Calibri"/>
        <b/>
        <color rgb="FF000000"/>
        <sz val="12.0"/>
      </rPr>
      <t xml:space="preserve">Private nonprofit institution: </t>
    </r>
    <r>
      <rPr>
        <rFont val="Calibri"/>
        <b val="0"/>
        <color rgb="FF000000"/>
        <sz val="12.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</si>
  <si>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Calibri"/>
        <b/>
        <color rgb="FF000000"/>
        <sz val="12.0"/>
      </rPr>
      <t xml:space="preserve">Proprietary institution: </t>
    </r>
    <r>
      <rPr>
        <rFont val="Calibri"/>
        <b val="0"/>
        <color rgb="FF000000"/>
        <sz val="12.0"/>
      </rPr>
      <t>See</t>
    </r>
    <r>
      <rPr>
        <rFont val="Calibri"/>
        <b/>
        <color rgb="FF000000"/>
        <sz val="12.0"/>
      </rPr>
      <t xml:space="preserve"> Private for-profit institution.</t>
    </r>
  </si>
  <si>
    <r>
      <rPr>
        <rFont val="Calibri"/>
        <b/>
        <color rgb="FF000000"/>
        <sz val="12.0"/>
      </rPr>
      <t xml:space="preserve">Public institution: </t>
    </r>
    <r>
      <rPr>
        <rFont val="Calibri"/>
        <b val="0"/>
        <color rgb="FF000000"/>
        <sz val="12.0"/>
      </rPr>
      <t>An educational institution whose programs and activities are operated by publicly elected or appointed school officials, and which is supported primarily by public funds.</t>
    </r>
  </si>
  <si>
    <r>
      <rPr>
        <rFont val="Calibri"/>
        <b/>
        <color rgb="FF000000"/>
        <sz val="12.0"/>
      </rPr>
      <t xml:space="preserve">Quarter calendar system: </t>
    </r>
    <r>
      <rPr>
        <rFont val="Calibri"/>
        <b val="0"/>
        <color rgb="FF000000"/>
        <sz val="12.0"/>
      </rPr>
      <t>A calendar system in which the academic year consists of three sessions called quarters of about 12 weeks each. The range may be from 10 to 15 weeks. There may be an additional quarter in the summer.</t>
    </r>
  </si>
  <si>
    <r>
      <rPr>
        <rFont val="Calibri"/>
        <b/>
        <color rgb="FF000000"/>
        <sz val="12.0"/>
      </rPr>
      <t xml:space="preserve">Race/ethnicity: </t>
    </r>
    <r>
      <rPr>
        <rFont val="Calibri"/>
        <b val="0"/>
        <color rgb="FF000000"/>
        <sz val="12.0"/>
      </rPr>
      <t>Category used to describe groups to which individuals belong, identify with, or belong in the eyes of the community. The categories do not denote scientific definitions of anthropological origins. A person may be counted in only one group.</t>
    </r>
  </si>
  <si>
    <r>
      <rPr>
        <rFont val="Calibri"/>
        <b/>
        <color rgb="FF000000"/>
        <sz val="12.0"/>
      </rPr>
      <t xml:space="preserve">Race/ethnicity unknown: </t>
    </r>
    <r>
      <rPr>
        <rFont val="Calibri"/>
        <b val="0"/>
        <color rgb="FF000000"/>
        <sz val="12.0"/>
      </rPr>
      <t>Category used to classify students or employees whose race/ethnicity is not known and whom institutions are unable to place in one of the specified racial/ethnic categories.</t>
    </r>
  </si>
  <si>
    <r>
      <rPr>
        <rFont val="Calibri"/>
        <b/>
        <color rgb="FF000000"/>
        <sz val="12.0"/>
      </rPr>
      <t xml:space="preserve">Recognized Postsecondary Credential: </t>
    </r>
    <r>
      <rPr>
        <rFont val="Calibri"/>
        <b val="0"/>
        <color rgb="FF000000"/>
        <sz val="12.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</si>
  <si>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Calibri"/>
        <b/>
        <color rgb="FF000000"/>
        <sz val="12.0"/>
      </rPr>
      <t xml:space="preserve">Religious affiliation/commitment (as admission factor): </t>
    </r>
    <r>
      <rPr>
        <rFont val="Calibri"/>
        <b val="0"/>
        <color rgb="FF000000"/>
        <sz val="12.0"/>
      </rPr>
      <t xml:space="preserve">Special consideration given in the admission process for affiliation with a certain church or faith/religion, commitment to a religious vocation, or observance of certain religious tenets/lifestyle. </t>
    </r>
  </si>
  <si>
    <r>
      <rPr>
        <rFont val="Calibri"/>
        <b/>
        <color rgb="FF000000"/>
        <sz val="12.0"/>
      </rPr>
      <t xml:space="preserve">*Religious counseling: </t>
    </r>
    <r>
      <rPr>
        <rFont val="Calibri"/>
        <b val="0"/>
        <color rgb="FF000000"/>
        <sz val="12.0"/>
      </rPr>
      <t>One-on-one or group counseling with trained professionals for students who want to explore religious problems or issues.</t>
    </r>
  </si>
  <si>
    <r>
      <rPr>
        <rFont val="Calibri"/>
        <b/>
        <color rgb="FF000000"/>
        <sz val="12.0"/>
      </rPr>
      <t xml:space="preserve">*Developmental services: </t>
    </r>
    <r>
      <rPr>
        <rFont val="Calibri"/>
        <b val="0"/>
        <color rgb="FF000000"/>
        <sz val="12.0"/>
      </rPr>
      <t>Instructional courses designed for students deficient in the general competencies necessary for a regular postsecondary curriculum and educational setting.</t>
    </r>
  </si>
  <si>
    <r>
      <rPr>
        <rFont val="Calibri"/>
        <b/>
        <color rgb="FF000000"/>
        <sz val="12.0"/>
      </rPr>
      <t xml:space="preserve">Required fees: </t>
    </r>
    <r>
      <rPr>
        <rFont val="Calibri"/>
        <b val="0"/>
        <color rgb="FF000000"/>
        <sz val="12.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</si>
  <si>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Calibri"/>
        <b/>
        <color rgb="FF000000"/>
        <sz val="12.0"/>
      </rPr>
      <t xml:space="preserve">Food and housing (charges)—on campus: </t>
    </r>
    <r>
      <rPr>
        <rFont val="Calibri"/>
        <b val="0"/>
        <color rgb="FF000000"/>
        <sz val="12.0"/>
      </rPr>
      <t>Assume double occupancy in institutional housing and 19 meals per week (or maximum meal plan).</t>
    </r>
  </si>
  <si>
    <r>
      <rPr>
        <rFont val="Calibri"/>
        <b/>
        <color rgb="FF000000"/>
        <sz val="12.0"/>
      </rPr>
      <t xml:space="preserve">Secondary school record (as admission factor): </t>
    </r>
    <r>
      <rPr>
        <rFont val="Calibri"/>
        <b val="0"/>
        <color rgb="FF000000"/>
        <sz val="12.0"/>
      </rPr>
      <t>Information maintained by the secondary school that may include such things as the student’s high school transcript, class rank, GPA, and teacher and counselor recommendations.</t>
    </r>
  </si>
  <si>
    <r>
      <rPr>
        <rFont val="Calibri"/>
        <b/>
        <color rgb="FF000000"/>
        <sz val="12.0"/>
      </rPr>
      <t xml:space="preserve">Semester calendar system: </t>
    </r>
    <r>
      <rPr>
        <rFont val="Calibri"/>
        <b val="0"/>
        <color rgb="FF000000"/>
        <sz val="12.0"/>
      </rPr>
      <t>A calendar system that consists of two semesters during the academic year with about 16 weeks for each semester of instruction. There may be an additional summer session.</t>
    </r>
  </si>
  <si>
    <r>
      <rPr>
        <rFont val="Calibri"/>
        <b/>
        <color rgb="FF000000"/>
        <sz val="12.0"/>
      </rPr>
      <t xml:space="preserve">Student-designed major: </t>
    </r>
    <r>
      <rPr>
        <rFont val="Calibri"/>
        <b val="0"/>
        <color rgb="FF000000"/>
        <sz val="12.0"/>
      </rPr>
      <t>A program of study based on individual interests, designed with the assistance of an adviser.</t>
    </r>
  </si>
  <si>
    <r>
      <rPr>
        <rFont val="Calibri"/>
        <b/>
        <color rgb="FF000000"/>
        <sz val="12.0"/>
      </rPr>
      <t>Study abroad:</t>
    </r>
    <r>
      <rPr>
        <rFont val="Calibri"/>
        <b val="0"/>
        <color rgb="FF000000"/>
        <sz val="12.0"/>
      </rPr>
      <t xml:space="preserve"> Any arrangement by which a student completes part of the college program studying in another country. Can be at a campus abroad or through a cooperative agreement with some other U.S. college or an institution of another country. </t>
    </r>
  </si>
  <si>
    <r>
      <rPr>
        <rFont val="Calibri"/>
        <b/>
        <color rgb="FF000000"/>
        <sz val="12.0"/>
      </rPr>
      <t xml:space="preserve">*Summer session: </t>
    </r>
    <r>
      <rPr>
        <rFont val="Calibri"/>
        <b val="0"/>
        <color rgb="FF000000"/>
        <sz val="12.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</si>
  <si>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Calibri"/>
        <b/>
        <color rgb="FF000000"/>
        <sz val="12.0"/>
      </rPr>
      <t xml:space="preserve">Talent/ability (as admission factor): </t>
    </r>
    <r>
      <rPr>
        <rFont val="Calibri"/>
        <b val="0"/>
        <color rgb="FF000000"/>
        <sz val="12.0"/>
      </rPr>
      <t>Special consideration given to students with demonstrated talent/abilities in areas of interest to the institution (e.g., sports, the arts, languages, etc.).</t>
    </r>
  </si>
  <si>
    <r>
      <rPr>
        <rFont val="Calibri"/>
        <b/>
        <color rgb="FF000000"/>
        <sz val="12.0"/>
      </rPr>
      <t>Teacher certification program:</t>
    </r>
    <r>
      <rPr>
        <rFont val="Calibri"/>
        <b val="0"/>
        <color rgb="FF000000"/>
        <sz val="12.0"/>
      </rPr>
      <t xml:space="preserve"> Program designed to prepare students to meet the requirements for certification as teachers in elementary, middle/junior high, and secondary schools.</t>
    </r>
  </si>
  <si>
    <r>
      <rPr>
        <rFont val="Calibri"/>
        <b/>
        <color rgb="FF000000"/>
        <sz val="12.0"/>
      </rPr>
      <t xml:space="preserve">Transfer applicant: </t>
    </r>
    <r>
      <rPr>
        <rFont val="Calibri"/>
        <b val="0"/>
        <color rgb="FF000000"/>
        <sz val="12.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</si>
  <si>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Calibri"/>
        <b/>
        <color rgb="FF000000"/>
        <sz val="12.0"/>
      </rPr>
      <t>Transfer student:</t>
    </r>
    <r>
      <rPr>
        <rFont val="Calibri"/>
        <b val="0"/>
        <color rgb="FF000000"/>
        <sz val="12.0"/>
      </rPr>
      <t xml:space="preserve"> A student entering the institution for the first time but known to have previously attended a postsecondary institution at the same level (e.g., undergraduate). The student may transfer with or without credit.</t>
    </r>
  </si>
  <si>
    <r>
      <rPr>
        <rFont val="Calibri"/>
        <b/>
        <color rgb="FF000000"/>
        <sz val="12.0"/>
      </rPr>
      <t xml:space="preserve">Transportation (costs): </t>
    </r>
    <r>
      <rPr>
        <rFont val="Calibri"/>
        <b val="0"/>
        <color rgb="FF000000"/>
        <sz val="12.0"/>
      </rPr>
      <t>Assume two round trips to student’s hometown per year for students in institutional housing or daily travel to and from your institution for commuter students.</t>
    </r>
  </si>
  <si>
    <r>
      <rPr>
        <rFont val="Calibri"/>
        <b/>
        <color rgb="FF000000"/>
        <sz val="12.0"/>
      </rPr>
      <t xml:space="preserve">Trimester calendar system: </t>
    </r>
    <r>
      <rPr>
        <rFont val="Calibri"/>
        <b val="0"/>
        <color rgb="FF000000"/>
        <sz val="12.0"/>
      </rPr>
      <t>An academic year consisting of 3 terms of about 15 weeks each.</t>
    </r>
  </si>
  <si>
    <r>
      <rPr>
        <rFont val="Calibri"/>
        <b/>
        <color rgb="FF000000"/>
        <sz val="12.0"/>
      </rPr>
      <t xml:space="preserve">Tuition: </t>
    </r>
    <r>
      <rPr>
        <rFont val="Calibri"/>
        <b val="0"/>
        <color rgb="FF000000"/>
        <sz val="12.0"/>
      </rPr>
      <t xml:space="preserve">Amount of money charged to students for instructional services. Tuition may be charged per term, per course, or per credit. </t>
    </r>
  </si>
  <si>
    <r>
      <rPr>
        <rFont val="Calibri"/>
        <b/>
        <color rgb="FF000000"/>
        <sz val="12.0"/>
      </rPr>
      <t xml:space="preserve">*Tutoring: </t>
    </r>
    <r>
      <rPr>
        <rFont val="Calibri"/>
        <b val="0"/>
        <color rgb="FF000000"/>
        <sz val="12.0"/>
      </rPr>
      <t>May range from one-on-one tutoring in specific subjects to tutoring in an area such as math, reading, or writing. Most tutors are college students; at some colleges, they are specially trained and certified.</t>
    </r>
  </si>
  <si>
    <r>
      <rPr>
        <rFont val="Calibri"/>
        <b/>
        <color rgb="FF000000"/>
        <sz val="12.0"/>
      </rPr>
      <t xml:space="preserve">Unit: </t>
    </r>
    <r>
      <rPr>
        <rFont val="Calibri"/>
        <b val="0"/>
        <color rgb="FF000000"/>
        <sz val="12.0"/>
      </rPr>
      <t>a standard of measurement representing hours of academic instruction (e.g., semester credit, quarter credit, clock hour).</t>
    </r>
  </si>
  <si>
    <r>
      <rPr>
        <rFont val="Calibri"/>
        <b/>
        <color rgb="FF000000"/>
        <sz val="12.0"/>
      </rPr>
      <t xml:space="preserve">Undergraduate: </t>
    </r>
    <r>
      <rPr>
        <rFont val="Calibri"/>
        <b val="0"/>
        <color rgb="FF000000"/>
        <sz val="12.0"/>
      </rPr>
      <t>A student enrolled in a four- or five-year bachelor’s degree program, an associate degree program, or a vocational or technical program below the baccalaureate.</t>
    </r>
  </si>
  <si>
    <r>
      <rPr>
        <rFont val="Calibri"/>
        <b/>
        <color rgb="FF000000"/>
        <sz val="12.0"/>
      </rPr>
      <t xml:space="preserve">Undergraduate Research: </t>
    </r>
    <r>
      <rPr>
        <rFont val="Calibri"/>
        <b val="0"/>
        <color rgb="FF000000"/>
        <sz val="12.0"/>
      </rPr>
      <t>Opportunities offered to undergraduate students to make original contributions in an academic discipline via the exploration of a specific research topic. Research opportunities may or may not be associated with a specific course or earn credit.</t>
    </r>
  </si>
  <si>
    <r>
      <rPr>
        <rFont val="Calibri"/>
        <b/>
        <color rgb="FF000000"/>
        <sz val="12.0"/>
      </rPr>
      <t xml:space="preserve">*Veteran’s counseling: </t>
    </r>
    <r>
      <rPr>
        <rFont val="Calibri"/>
        <b val="0"/>
        <color rgb="FF000000"/>
        <sz val="12.0"/>
      </rPr>
      <t>Helps veterans and their dependents obtain benefits for their selected program and provides certifications to the Veteran’s Administration. May also provide personal counseling on the transition from the military to a civilian life.</t>
    </r>
  </si>
  <si>
    <r>
      <rPr>
        <rFont val="Calibri"/>
        <b/>
        <color rgb="FF000000"/>
        <sz val="12.0"/>
      </rPr>
      <t xml:space="preserve">*Visually impaired: </t>
    </r>
    <r>
      <rPr>
        <rFont val="Calibri"/>
        <b val="0"/>
        <color rgb="FF000000"/>
        <sz val="12.0"/>
      </rPr>
      <t>Any person whose sight loss is not correctable and is sufficiently severe as to adversely affect educational performance.</t>
    </r>
  </si>
  <si>
    <r>
      <rPr>
        <rFont val="Calibri"/>
        <b/>
        <color rgb="FF000000"/>
        <sz val="12.0"/>
      </rPr>
      <t xml:space="preserve">Volunteer work (as admission factor): </t>
    </r>
    <r>
      <rPr>
        <rFont val="Calibri"/>
        <b val="0"/>
        <color rgb="FF000000"/>
        <sz val="12.0"/>
      </rPr>
      <t>Special consideration given to students for activity done on a volunteer basis (e.g., tutoring, hospital care, working with the elderly or disabled) as a service to the community or the public in general.</t>
    </r>
  </si>
  <si>
    <r>
      <rPr>
        <rFont val="Calibri"/>
        <b/>
        <color rgb="FF000000"/>
        <sz val="12.0"/>
      </rPr>
      <t xml:space="preserve">Wait list: </t>
    </r>
    <r>
      <rPr>
        <rFont val="Calibri"/>
        <b val="0"/>
        <color rgb="FF000000"/>
        <sz val="12.0"/>
      </rPr>
      <t xml:space="preserve">List of students who meet the admission requirements but will only be offered a place in the class if space becomes available. </t>
    </r>
  </si>
  <si>
    <r>
      <rPr>
        <rFont val="Calibri"/>
        <b/>
        <color rgb="FF000000"/>
        <sz val="12.0"/>
      </rPr>
      <t>Weekend college:</t>
    </r>
    <r>
      <rPr>
        <rFont val="Calibri"/>
        <b val="0"/>
        <color rgb="FF000000"/>
        <sz val="12.0"/>
      </rPr>
      <t xml:space="preserve"> A program that allows students to take a complete course of study and attend classes only on weekends. </t>
    </r>
  </si>
  <si>
    <r>
      <rPr>
        <rFont val="Calibri"/>
        <b/>
        <color rgb="FF000000"/>
        <sz val="12.0"/>
      </rPr>
      <t>White:</t>
    </r>
    <r>
      <rPr>
        <rFont val="Calibri"/>
        <b val="0"/>
        <i/>
        <color rgb="FF000000"/>
        <sz val="12.0"/>
      </rPr>
      <t xml:space="preserve"> </t>
    </r>
    <r>
      <rPr>
        <rFont val="Calibri"/>
        <b val="0"/>
        <color rgb="FF000000"/>
        <sz val="12.0"/>
      </rPr>
      <t>A person having origins in any of the original peoples of Europe, the Middle East, or North Africa.</t>
    </r>
  </si>
  <si>
    <r>
      <rPr>
        <rFont val="Calibri"/>
        <b/>
        <color rgb="FF000000"/>
        <sz val="12.0"/>
      </rPr>
      <t xml:space="preserve">*Women’s center: </t>
    </r>
    <r>
      <rPr>
        <rFont val="Calibri"/>
        <b val="0"/>
        <color rgb="FF000000"/>
        <sz val="12.0"/>
      </rPr>
      <t>Center with programs, academic activities, and/or services intended to promote an understanding of the evolving roles of women.</t>
    </r>
  </si>
  <si>
    <r>
      <rPr>
        <rFont val="Calibri"/>
        <b/>
        <color rgb="FF000000"/>
        <sz val="12.0"/>
      </rPr>
      <t xml:space="preserve">Work experience (as admission factor): </t>
    </r>
    <r>
      <rPr>
        <rFont val="Calibri"/>
        <b val="0"/>
        <color rgb="FF000000"/>
        <sz val="12.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</si>
  <si>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</si>
  <si>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Calibri"/>
        <b/>
        <color rgb="FF000000"/>
        <sz val="12.0"/>
      </rPr>
      <t xml:space="preserve">External scholarships and grants: </t>
    </r>
    <r>
      <rPr>
        <rFont val="Calibri"/>
        <b val="0"/>
        <color rgb="FF000000"/>
        <sz val="12.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</si>
  <si>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Calibri"/>
        <b/>
        <color rgb="FF000000"/>
        <sz val="12.0"/>
      </rPr>
      <t xml:space="preserve">Financial aid applicant: </t>
    </r>
    <r>
      <rPr>
        <rFont val="Calibri"/>
        <b val="0"/>
        <color rgb="FF000000"/>
        <sz val="12.0"/>
      </rPr>
      <t xml:space="preserve">Any applicant who submits </t>
    </r>
    <r>
      <rPr>
        <rFont val="Calibri"/>
        <b/>
        <color rgb="FF000000"/>
        <sz val="12.0"/>
      </rPr>
      <t>any one of</t>
    </r>
    <r>
      <rPr>
        <rFont val="Calibri"/>
        <b val="0"/>
        <color rgb="FF000000"/>
        <sz val="12.0"/>
      </rPr>
      <t xml:space="preserve"> the institutionally required financial aid applications/forms, such as the FAFSA. </t>
    </r>
  </si>
  <si>
    <r>
      <rPr>
        <rFont val="Calibri"/>
        <b/>
        <color rgb="FF000000"/>
        <sz val="12.0"/>
      </rPr>
      <t xml:space="preserve">Indebtedness: </t>
    </r>
    <r>
      <rPr>
        <rFont val="Calibri"/>
        <b val="0"/>
        <color rgb="FF000000"/>
        <sz val="12.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Calibri"/>
        <b/>
        <color rgb="FF000000"/>
        <sz val="12.0"/>
      </rPr>
      <t>should</t>
    </r>
    <r>
      <rPr>
        <rFont val="Calibri"/>
        <b val="0"/>
        <color rgb="FF000000"/>
        <sz val="12.0"/>
      </rPr>
      <t xml:space="preserve"> be included.</t>
    </r>
  </si>
  <si>
    <r>
      <rPr>
        <rFont val="Calibri"/>
        <b/>
        <color rgb="FF000000"/>
        <sz val="12.0"/>
      </rPr>
      <t>Institutional scholarships and grants</t>
    </r>
    <r>
      <rPr>
        <rFont val="Calibri"/>
        <b val="0"/>
        <color rgb="FF000000"/>
        <sz val="12.0"/>
      </rPr>
      <t>: Endowed scholarships, annual gifts and tuition funded grants for which the institution determines the recipient.</t>
    </r>
  </si>
  <si>
    <r>
      <rPr>
        <rFont val="Calibri"/>
        <b/>
        <color rgb="FF000000"/>
        <sz val="12.0"/>
      </rPr>
      <t xml:space="preserve">Financial need: </t>
    </r>
    <r>
      <rPr>
        <rFont val="Calibri"/>
        <b val="0"/>
        <color rgb="FF000000"/>
        <sz val="12.0"/>
      </rPr>
      <t xml:space="preserve">As determined by your institution using the federal methodology and/or your institution's own standards. </t>
    </r>
  </si>
  <si>
    <r>
      <rPr>
        <rFont val="Calibri"/>
        <b/>
        <color rgb="FF000000"/>
        <sz val="12.0"/>
      </rPr>
      <t xml:space="preserve">Need-based aid: </t>
    </r>
    <r>
      <rPr>
        <rFont val="Calibri"/>
        <b val="0"/>
        <color rgb="FF000000"/>
        <sz val="12.0"/>
      </rPr>
      <t>College-funded or college-administered award from institutional, state, federal, or other sources for which a student must have financial need to qualify. This includes both institutional and non-institutional student aid (grants, jobs, and loans).</t>
    </r>
  </si>
  <si>
    <r>
      <rPr>
        <rFont val="Calibri"/>
        <b/>
        <color rgb="FF000000"/>
        <sz val="12.0"/>
      </rPr>
      <t xml:space="preserve">Need-based scholarship or grant aid: </t>
    </r>
    <r>
      <rPr>
        <rFont val="Calibri"/>
        <b val="0"/>
        <color rgb="FF000000"/>
        <sz val="12.0"/>
      </rPr>
      <t>Scholarships and grants from institutional, state, federal, or other sources for which a student must have financial need to qualify.</t>
    </r>
  </si>
  <si>
    <r>
      <rPr>
        <rFont val="Calibri"/>
        <b/>
        <color rgb="FF000000"/>
        <sz val="12.0"/>
      </rPr>
      <t xml:space="preserve">Need-based self-help aid: </t>
    </r>
    <r>
      <rPr>
        <rFont val="Calibri"/>
        <b val="0"/>
        <color rgb="FF000000"/>
        <sz val="12.0"/>
      </rPr>
      <t>Loans and jobs from institutional, state, federal, or other sources for which a student must demonstrate financial need to qualify.</t>
    </r>
  </si>
  <si>
    <r>
      <rPr>
        <rFont val="Calibri"/>
        <b/>
        <color rgb="FF000000"/>
        <sz val="12.0"/>
      </rPr>
      <t xml:space="preserve">Non-need-based scholarship or grant aid: </t>
    </r>
    <r>
      <rPr>
        <rFont val="Calibri"/>
        <b val="0"/>
        <color rgb="FF000000"/>
        <sz val="12.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</si>
  <si>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</si>
  <si>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</si>
  <si>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2.     Non-need tuition waivers</t>
  </si>
  <si>
    <t>3.     Non-need athletic awards</t>
  </si>
  <si>
    <t>4.     Non-need federal grants</t>
  </si>
  <si>
    <t>5.     Non-need state grants</t>
  </si>
  <si>
    <t>6.     Non-need outside grants</t>
  </si>
  <si>
    <t>7.     Non-need student loans</t>
  </si>
  <si>
    <t>8.     Non-need parent loans</t>
  </si>
  <si>
    <t>9.     Non-need work</t>
  </si>
  <si>
    <r>
      <rPr>
        <rFont val="Calibri"/>
        <b/>
        <color rgb="FF000000"/>
        <sz val="12.0"/>
      </rPr>
      <t xml:space="preserve">Non-need-based self-help aid: </t>
    </r>
    <r>
      <rPr>
        <rFont val="Calibri"/>
        <b val="0"/>
        <color rgb="FF000000"/>
        <sz val="12.0"/>
      </rPr>
      <t>Loans and jobs from institutional, state, or other sources for which a student need not demonstrate financial need to qualify.</t>
    </r>
  </si>
  <si>
    <r>
      <rPr>
        <rFont val="Calibri"/>
        <b/>
        <color rgb="FF000000"/>
        <sz val="12.0"/>
      </rPr>
      <t>Work study and employment</t>
    </r>
    <r>
      <rPr>
        <rFont val="Calibri"/>
        <b val="0"/>
        <color rgb="FF000000"/>
        <sz val="12.0"/>
      </rPr>
      <t>: Federal and state work study aid, and any employment packaged by your institution in financial aid awards.</t>
    </r>
  </si>
  <si>
    <t xml:space="preserve">A.5 </t>
  </si>
  <si>
    <t>C.8</t>
  </si>
  <si>
    <t>D.3</t>
  </si>
  <si>
    <t>D.9</t>
  </si>
  <si>
    <t>D.18</t>
  </si>
  <si>
    <t>E.1</t>
  </si>
  <si>
    <t>E.2</t>
  </si>
  <si>
    <t>F.2</t>
  </si>
  <si>
    <t>F.3</t>
  </si>
  <si>
    <t>F.4</t>
  </si>
  <si>
    <t>G</t>
  </si>
  <si>
    <t>H6</t>
  </si>
  <si>
    <t>H7</t>
  </si>
  <si>
    <t>H8</t>
  </si>
  <si>
    <t>H12</t>
  </si>
  <si>
    <t>H13</t>
  </si>
  <si>
    <t>H14 Non Need</t>
  </si>
  <si>
    <t>H14 Need Based</t>
  </si>
  <si>
    <t xml:space="preserve">Accelerated program </t>
  </si>
  <si>
    <t>Arts/fine arts</t>
  </si>
  <si>
    <t>Army - On Campus</t>
  </si>
  <si>
    <t>Army - At cooperating institution</t>
  </si>
  <si>
    <t>Naval - Marine Option</t>
  </si>
  <si>
    <t>Naval - On Campus</t>
  </si>
  <si>
    <t>International Student Organization</t>
  </si>
  <si>
    <t>Naval - At cooperating institution</t>
  </si>
  <si>
    <t>Intensive writing</t>
  </si>
  <si>
    <t xml:space="preserve">Exchange student program (domestic) </t>
  </si>
  <si>
    <t>Air Force - On Campus</t>
  </si>
  <si>
    <t>Air Force - At cooperating institution</t>
  </si>
  <si>
    <t>Science (biological or physical)</t>
  </si>
  <si>
    <t xml:space="preserve">Other </t>
  </si>
  <si>
    <t>Radio station</t>
  </si>
  <si>
    <t>Student government</t>
  </si>
  <si>
    <t>Student newspaper</t>
  </si>
  <si>
    <t>Undergraduate research</t>
  </si>
  <si>
    <t>Student-run film society</t>
  </si>
  <si>
    <t>Symphony orchestra</t>
  </si>
  <si>
    <t>Television station</t>
  </si>
  <si>
    <t>Yearbook</t>
  </si>
  <si>
    <t>Alabama</t>
  </si>
  <si>
    <t>Open admission policy as described above for all students</t>
  </si>
  <si>
    <t>Required to be considered for admission</t>
  </si>
  <si>
    <t xml:space="preserve">On a rolling basis beginning (date) </t>
  </si>
  <si>
    <t>Must reply by set date</t>
  </si>
  <si>
    <t>Yes, in full</t>
  </si>
  <si>
    <t>Course(s)</t>
  </si>
  <si>
    <t>Federal methodology (FM)</t>
  </si>
  <si>
    <t>Alaska</t>
  </si>
  <si>
    <t>Aaland Islands</t>
  </si>
  <si>
    <t>Private (Nonprofit)</t>
  </si>
  <si>
    <t>Men's College</t>
  </si>
  <si>
    <t>Quarter</t>
  </si>
  <si>
    <t>High school diploma is required and GED is not accepted</t>
  </si>
  <si>
    <t>Recommend</t>
  </si>
  <si>
    <t>Open admission policy as described above for most students, but selective admission for out-of-state students</t>
  </si>
  <si>
    <t>Required for some</t>
  </si>
  <si>
    <t>Free</t>
  </si>
  <si>
    <t xml:space="preserve">By (date) </t>
  </si>
  <si>
    <t>No set date</t>
  </si>
  <si>
    <t>Recommended of All</t>
  </si>
  <si>
    <t>Projections</t>
  </si>
  <si>
    <t>2022-2023 Final</t>
  </si>
  <si>
    <t>Institutional methodology (IM)</t>
  </si>
  <si>
    <t>Arizona</t>
  </si>
  <si>
    <t xml:space="preserve">Afghanistan </t>
  </si>
  <si>
    <t>Proprietary</t>
  </si>
  <si>
    <t>Women's College</t>
  </si>
  <si>
    <t>Trimester</t>
  </si>
  <si>
    <t>High school diploma or equivalent is not required</t>
  </si>
  <si>
    <t>Neither require nor recommend</t>
  </si>
  <si>
    <t>Open admission policy as described above for most students, but selective admission to some programs</t>
  </si>
  <si>
    <t>Recommended</t>
  </si>
  <si>
    <t>Reduced</t>
  </si>
  <si>
    <t>Not Available</t>
  </si>
  <si>
    <t>Arkansas</t>
  </si>
  <si>
    <t>Albania</t>
  </si>
  <si>
    <t>4-1-4</t>
  </si>
  <si>
    <t>Not required for admission, but considered for some</t>
  </si>
  <si>
    <t>Recommended of Some</t>
  </si>
  <si>
    <t>Algeria</t>
  </si>
  <si>
    <t>Continuous</t>
  </si>
  <si>
    <t>Colorado</t>
  </si>
  <si>
    <t>American Samoa</t>
  </si>
  <si>
    <t>Differs by program</t>
  </si>
  <si>
    <t>Connecticut</t>
  </si>
  <si>
    <t>Andorra</t>
  </si>
  <si>
    <t>Delaware</t>
  </si>
  <si>
    <t>Angola</t>
  </si>
  <si>
    <t>District of Columbia</t>
  </si>
  <si>
    <t>Anguilla</t>
  </si>
  <si>
    <t>Florida</t>
  </si>
  <si>
    <t>Antarctica</t>
  </si>
  <si>
    <t>Georgia</t>
  </si>
  <si>
    <t>Antigua and Barbuda</t>
  </si>
  <si>
    <t>Hawaii</t>
  </si>
  <si>
    <t>Argentina</t>
  </si>
  <si>
    <t>Idaho</t>
  </si>
  <si>
    <t>Armenia</t>
  </si>
  <si>
    <t>Illinois</t>
  </si>
  <si>
    <t>Aruba</t>
  </si>
  <si>
    <t>Indiana</t>
  </si>
  <si>
    <t>Australia</t>
  </si>
  <si>
    <t>Iowa</t>
  </si>
  <si>
    <t>Austria</t>
  </si>
  <si>
    <t>Kansas</t>
  </si>
  <si>
    <t>Azerbaijan</t>
  </si>
  <si>
    <t>Kentucky</t>
  </si>
  <si>
    <t>Bahamas</t>
  </si>
  <si>
    <t>Louisiana</t>
  </si>
  <si>
    <t>Bahrain</t>
  </si>
  <si>
    <t>Maine</t>
  </si>
  <si>
    <t>Bangladesh</t>
  </si>
  <si>
    <t>Maryland</t>
  </si>
  <si>
    <t>Barbados</t>
  </si>
  <si>
    <t>Massachusetts</t>
  </si>
  <si>
    <t>Belarus</t>
  </si>
  <si>
    <t>Michigan</t>
  </si>
  <si>
    <t>Belgium</t>
  </si>
  <si>
    <t>Minnesota</t>
  </si>
  <si>
    <t>Belize</t>
  </si>
  <si>
    <t>Mississippi</t>
  </si>
  <si>
    <t>Benin</t>
  </si>
  <si>
    <t>Missouri</t>
  </si>
  <si>
    <t>Bermuda</t>
  </si>
  <si>
    <t>Montana</t>
  </si>
  <si>
    <t>Bhutan</t>
  </si>
  <si>
    <t>Nebraska</t>
  </si>
  <si>
    <t>Bolivia</t>
  </si>
  <si>
    <t>Nevada</t>
  </si>
  <si>
    <t>Bonaire, Sint Eustasius and Saba</t>
  </si>
  <si>
    <t>New Hampshire</t>
  </si>
  <si>
    <t>Bosnia and Herzegovina</t>
  </si>
  <si>
    <t>New Jersey</t>
  </si>
  <si>
    <t>Botswana</t>
  </si>
  <si>
    <t>New Mexico</t>
  </si>
  <si>
    <t>Bouvet Island</t>
  </si>
  <si>
    <t>New York</t>
  </si>
  <si>
    <t>Brazil</t>
  </si>
  <si>
    <t xml:space="preserve">North Carolina </t>
  </si>
  <si>
    <t>British Indian Ocean Territory</t>
  </si>
  <si>
    <t>North Dakota</t>
  </si>
  <si>
    <t>Brunei Darussalam</t>
  </si>
  <si>
    <t>Ohio</t>
  </si>
  <si>
    <t>Bulgaria</t>
  </si>
  <si>
    <t>Oklahoma</t>
  </si>
  <si>
    <t>Burkina Faso</t>
  </si>
  <si>
    <t>Oregon</t>
  </si>
  <si>
    <t>Burundi</t>
  </si>
  <si>
    <t>Pennsylvania</t>
  </si>
  <si>
    <t>Cambodia</t>
  </si>
  <si>
    <t>Rhode Island</t>
  </si>
  <si>
    <t>Cameroon</t>
  </si>
  <si>
    <t>South Carolina</t>
  </si>
  <si>
    <t>Canada</t>
  </si>
  <si>
    <t>South Dakota</t>
  </si>
  <si>
    <t>Cape Verde</t>
  </si>
  <si>
    <t>Tennessee</t>
  </si>
  <si>
    <t>Cayman Islands</t>
  </si>
  <si>
    <t>Texas</t>
  </si>
  <si>
    <t>Central African Republic</t>
  </si>
  <si>
    <t>Utah</t>
  </si>
  <si>
    <t>Chad</t>
  </si>
  <si>
    <t>Vermont</t>
  </si>
  <si>
    <t>Chile</t>
  </si>
  <si>
    <t>Virginia</t>
  </si>
  <si>
    <t>China</t>
  </si>
  <si>
    <t>Puerto Rico</t>
  </si>
  <si>
    <t>Christmas Island</t>
  </si>
  <si>
    <t>Washington</t>
  </si>
  <si>
    <t>Cocos (Keeling) Islands</t>
  </si>
  <si>
    <t>West Virginia</t>
  </si>
  <si>
    <t>Colombia</t>
  </si>
  <si>
    <t>Wisconsin</t>
  </si>
  <si>
    <t>Comoros</t>
  </si>
  <si>
    <t>Wyoming</t>
  </si>
  <si>
    <t>Congo</t>
  </si>
  <si>
    <t xml:space="preserve"> The Democratic Republic Of The Congo</t>
  </si>
  <si>
    <t>Micronesia</t>
  </si>
  <si>
    <t>Cook Islands</t>
  </si>
  <si>
    <t>Guam</t>
  </si>
  <si>
    <t>Costa Rica</t>
  </si>
  <si>
    <t>Marshall Islands</t>
  </si>
  <si>
    <t>Cote D'Ivoire</t>
  </si>
  <si>
    <t>Northern Mariana Islands</t>
  </si>
  <si>
    <t>Croatia</t>
  </si>
  <si>
    <t>Palau</t>
  </si>
  <si>
    <t>Cuba</t>
  </si>
  <si>
    <t>U.S. Minor Outlying Islands</t>
  </si>
  <si>
    <t>Curacao</t>
  </si>
  <si>
    <t xml:space="preserve">Virgin Islands, U.S. </t>
  </si>
  <si>
    <t>Cyprus</t>
  </si>
  <si>
    <t>Armed Forces Americas (Except Canada)</t>
  </si>
  <si>
    <t>Czechia</t>
  </si>
  <si>
    <t>Armed Forces Canada, Europe, Middle East, Africa</t>
  </si>
  <si>
    <t>Denmark</t>
  </si>
  <si>
    <t xml:space="preserve">Armed Forces Pacific </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</si>
  <si>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</si>
  <si>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</si>
  <si>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</si>
  <si>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</si>
  <si>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</si>
  <si>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</si>
  <si>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</si>
  <si>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</si>
  <si>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</si>
  <si>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</si>
  <si>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</si>
  <si>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</si>
  <si>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</si>
  <si>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</si>
  <si>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</si>
  <si>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</si>
  <si>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</si>
  <si>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</si>
  <si>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 xml:space="preserve">Gabon </t>
  </si>
  <si>
    <t>Gambia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</si>
  <si>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</si>
  <si>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</si>
  <si>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</si>
  <si>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</si>
  <si>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</si>
  <si>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</si>
  <si>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</si>
  <si>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</si>
  <si>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</si>
  <si>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</si>
  <si>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</si>
  <si>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</si>
  <si>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</si>
  <si>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</si>
  <si>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</si>
  <si>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</si>
  <si>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</si>
  <si>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</si>
  <si>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</si>
  <si>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</si>
  <si>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</si>
  <si>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Islamic Republic Of Iran</t>
  </si>
  <si>
    <t>Iraq</t>
  </si>
  <si>
    <t>Ireland</t>
  </si>
  <si>
    <t>Isle Of Man</t>
  </si>
  <si>
    <t>Israel</t>
  </si>
  <si>
    <t>Italy</t>
  </si>
  <si>
    <t>Jamaica</t>
  </si>
  <si>
    <t>Japan</t>
  </si>
  <si>
    <t>Jersey</t>
  </si>
  <si>
    <t>Jordan</t>
  </si>
  <si>
    <t>Kazakhstan</t>
  </si>
  <si>
    <t>Kenya</t>
  </si>
  <si>
    <t>Kiribati</t>
  </si>
  <si>
    <t>North Korea (DPR)</t>
  </si>
  <si>
    <t>South Korea (ROK)</t>
  </si>
  <si>
    <t>Kosovo</t>
  </si>
  <si>
    <t>Kuwait</t>
  </si>
  <si>
    <t>Kyrgyzstan</t>
  </si>
  <si>
    <t xml:space="preserve">Lao People's Democratic Republic </t>
  </si>
  <si>
    <t>Latvia</t>
  </si>
  <si>
    <t>Lebanon</t>
  </si>
  <si>
    <t>Lesotho</t>
  </si>
  <si>
    <t>Liberia</t>
  </si>
  <si>
    <t>Libya</t>
  </si>
  <si>
    <t>Liechtenstein</t>
  </si>
  <si>
    <t>Lithuania</t>
  </si>
  <si>
    <t>Luxembourg</t>
  </si>
  <si>
    <t>Macao</t>
  </si>
  <si>
    <t xml:space="preserve"> The Former Yugoslav Republic Of Macedonia</t>
  </si>
  <si>
    <t>Madagascar</t>
  </si>
  <si>
    <t>Malawi</t>
  </si>
  <si>
    <t>Malaysia</t>
  </si>
  <si>
    <t>Maldives</t>
  </si>
  <si>
    <t>Mali</t>
  </si>
  <si>
    <t>Malta</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</si>
  <si>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</si>
  <si>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</si>
  <si>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</si>
  <si>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</si>
  <si>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</si>
  <si>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</si>
  <si>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</si>
  <si>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</si>
  <si>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</si>
  <si>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</si>
  <si>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</si>
  <si>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</si>
  <si>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</si>
  <si>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</si>
  <si>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</si>
  <si>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</si>
  <si>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</si>
  <si>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</si>
  <si>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</si>
  <si>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</si>
  <si>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</si>
  <si>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</si>
  <si>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</si>
  <si>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</si>
  <si>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</si>
  <si>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</si>
  <si>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Norway</t>
  </si>
  <si>
    <t>Oman</t>
  </si>
  <si>
    <t>Pakistan</t>
  </si>
  <si>
    <t>State Of Palestine</t>
  </si>
  <si>
    <t>Panama</t>
  </si>
  <si>
    <t>Papua New Guinea</t>
  </si>
  <si>
    <t>Paraguay</t>
  </si>
  <si>
    <t>Peru</t>
  </si>
  <si>
    <t>Philippines</t>
  </si>
  <si>
    <t>Pitcairn</t>
  </si>
  <si>
    <t>Poland</t>
  </si>
  <si>
    <t>Portugal</t>
  </si>
  <si>
    <t>Qatar</t>
  </si>
  <si>
    <t>Reunion</t>
  </si>
  <si>
    <t>Romania</t>
  </si>
  <si>
    <t>Russian Federation</t>
  </si>
  <si>
    <t>Rwanda</t>
  </si>
  <si>
    <t>Saint Barthelemy</t>
  </si>
  <si>
    <t xml:space="preserve"> Ascension and Tristan da Cunha Saint Helena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</si>
  <si>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</si>
  <si>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</si>
  <si>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</si>
  <si>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</si>
  <si>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</si>
  <si>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</si>
  <si>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</si>
  <si>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</si>
  <si>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</si>
  <si>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</si>
  <si>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</si>
  <si>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</si>
  <si>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</si>
  <si>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</si>
  <si>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</si>
  <si>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</si>
  <si>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</si>
  <si>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</si>
  <si>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</si>
  <si>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</si>
  <si>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</si>
  <si>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</si>
  <si>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</si>
  <si>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</si>
  <si>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</si>
  <si>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</si>
  <si>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</si>
  <si>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</si>
  <si>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</si>
  <si>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</si>
  <si>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</si>
  <si>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Syrian Arab Republic</t>
  </si>
  <si>
    <t>Taiwan</t>
  </si>
  <si>
    <t>Tajikistan</t>
  </si>
  <si>
    <t>United Republic of 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</si>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</sst>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0"/>
    <numFmt numFmtId="165" formatCode="[&lt;=9999999]###\-####;\(###\)\ ###\-####"/>
    <numFmt numFmtId="166" formatCode="#,##0.0"/>
    <numFmt numFmtId="167" formatCode="m/d/yyyy"/>
    <numFmt numFmtId="168" formatCode="0.0%"/>
    <numFmt numFmtId="169" formatCode="0.0"/>
    <numFmt numFmtId="170" formatCode="m/d"/>
    <numFmt numFmtId="171" formatCode="&quot;$&quot;#,##0.00"/>
    <numFmt numFmtId="172" formatCode="&quot;$&quot;#,##0"/>
  </numFmts>
  <fonts count="61">
    <font>
      <sz val="12.0"/>
      <color theme="1"/>
      <name val="Calibri"/>
      <scheme val="minor"/>
    </font>
    <font>
      <b/>
      <sz val="12.0"/>
      <color theme="1"/>
      <name val="Calibri"/>
    </font>
    <font>
      <sz val="12.0"/>
      <color theme="1"/>
      <name val="Calibri"/>
    </font>
    <font>
      <color theme="1"/>
      <name val="Calibri"/>
      <scheme val="minor"/>
    </font>
    <font>
      <u/>
      <sz val="12.0"/>
      <color theme="4"/>
      <name val="Calibri"/>
    </font>
    <font>
      <b/>
      <sz val="14.0"/>
      <color theme="1"/>
      <name val="Calibri"/>
    </font>
    <font/>
    <font>
      <u/>
      <sz val="12.0"/>
      <color theme="4"/>
      <name val="Calibri"/>
    </font>
    <font>
      <u/>
      <sz val="12.0"/>
      <color theme="4"/>
      <name val="Calibri"/>
    </font>
    <font>
      <i/>
      <sz val="12.0"/>
      <color theme="1"/>
      <name val="Calibri"/>
    </font>
    <font>
      <b/>
      <sz val="12.0"/>
      <color rgb="FFC00000"/>
      <name val="Calibri"/>
    </font>
    <font>
      <u/>
      <sz val="12.0"/>
      <color theme="4"/>
      <name val="Calibri"/>
    </font>
    <font>
      <u/>
      <sz val="12.0"/>
      <color theme="4"/>
      <name val="Calibri"/>
    </font>
    <font>
      <u/>
      <sz val="12.0"/>
      <color theme="4"/>
      <name val="Calibri"/>
    </font>
    <font>
      <sz val="10.0"/>
      <color theme="1"/>
      <name val="Calibri"/>
    </font>
    <font>
      <u/>
      <sz val="12.0"/>
      <color theme="4"/>
      <name val="Calibri"/>
    </font>
    <font>
      <u/>
      <sz val="12.0"/>
      <color theme="4"/>
      <name val="Calibri"/>
    </font>
    <font>
      <sz val="14.0"/>
      <color theme="1"/>
      <name val="Calibri"/>
    </font>
    <font>
      <b/>
      <color rgb="FF9C0006"/>
      <name val="Calibri"/>
      <scheme val="minor"/>
    </font>
    <font>
      <u/>
      <sz val="12.0"/>
      <color theme="4"/>
      <name val="Calibri"/>
    </font>
    <font>
      <sz val="11.0"/>
      <color rgb="FF000000"/>
      <name val="Calibri"/>
    </font>
    <font>
      <u/>
      <sz val="11.0"/>
      <color theme="4"/>
      <name val="Calibri"/>
    </font>
    <font>
      <b/>
      <sz val="10.0"/>
      <color rgb="FF000000"/>
      <name val="Calibri"/>
    </font>
    <font>
      <b/>
      <sz val="11.0"/>
      <color theme="0"/>
      <name val="Calibri"/>
    </font>
    <font>
      <b/>
      <sz val="11.0"/>
      <color rgb="FF000000"/>
      <name val="Calibri"/>
    </font>
    <font>
      <sz val="11.0"/>
      <color theme="1"/>
      <name val="Calibri"/>
    </font>
    <font>
      <b/>
      <sz val="11.0"/>
      <color theme="1"/>
      <name val="Calibri"/>
    </font>
    <font>
      <b/>
      <sz val="12.0"/>
      <color rgb="FF9C0006"/>
      <name val="Calibri"/>
    </font>
    <font>
      <sz val="12.0"/>
      <color rgb="FF000000"/>
      <name val="Calibri"/>
    </font>
    <font>
      <sz val="12.0"/>
      <color rgb="FF333333"/>
      <name val="Calibri"/>
    </font>
    <font>
      <b/>
      <sz val="12.0"/>
      <color rgb="FF000000"/>
      <name val="Calibri"/>
    </font>
    <font>
      <b/>
      <sz val="10.0"/>
      <color rgb="FF000000"/>
      <name val="Times New Roman"/>
    </font>
    <font>
      <b/>
      <sz val="12.0"/>
      <color theme="0"/>
      <name val="Calibri"/>
    </font>
    <font>
      <i/>
      <sz val="11.0"/>
      <color rgb="FF000000"/>
      <name val="Calibri"/>
    </font>
    <font>
      <b/>
      <sz val="10.0"/>
      <color rgb="FFC00000"/>
      <name val="Calibri"/>
    </font>
    <font>
      <b/>
      <color rgb="FFC00000"/>
      <name val="Calibri"/>
      <scheme val="minor"/>
    </font>
    <font>
      <b/>
      <sz val="14.0"/>
      <color rgb="FF000000"/>
      <name val="Calibri"/>
    </font>
    <font>
      <b/>
      <sz val="10.0"/>
      <color rgb="FF9C0006"/>
      <name val="Arial"/>
    </font>
    <font>
      <i/>
      <sz val="12.0"/>
      <color rgb="FF000000"/>
      <name val="Calibri"/>
    </font>
    <font>
      <b/>
      <i/>
      <sz val="12.0"/>
      <color rgb="FFC00000"/>
      <name val="Calibri"/>
    </font>
    <font>
      <sz val="10.0"/>
      <color rgb="FF1F1F1F"/>
      <name val="Arial"/>
    </font>
    <font>
      <i/>
      <sz val="14.0"/>
      <color rgb="FF000000"/>
      <name val="Calibri"/>
    </font>
    <font>
      <b/>
      <color rgb="FF980000"/>
      <name val="Calibri"/>
      <scheme val="minor"/>
    </font>
    <font>
      <b/>
      <sz val="18.0"/>
      <color rgb="FFFF0000"/>
      <name val="Calibri"/>
    </font>
    <font>
      <u/>
      <sz val="12.0"/>
      <color rgb="FF4472C4"/>
      <name val="Calibri"/>
    </font>
    <font>
      <u/>
      <sz val="12.0"/>
      <color theme="4"/>
      <name val="Calibri"/>
    </font>
    <font>
      <sz val="12.0"/>
      <color rgb="FF000000"/>
      <name val="Times New Roman"/>
    </font>
    <font>
      <sz val="12.0"/>
      <color rgb="FF000000"/>
      <name val="Noto Sans Symbols"/>
    </font>
    <font>
      <b/>
      <sz val="14.0"/>
      <color rgb="FFC00000"/>
      <name val="Calibri"/>
    </font>
    <font>
      <b/>
      <sz val="12.0"/>
      <color rgb="FFFF0000"/>
      <name val="Calibri"/>
    </font>
    <font>
      <b/>
      <i/>
      <sz val="12.0"/>
      <color theme="1"/>
      <name val="Calibri"/>
    </font>
    <font>
      <sz val="12.0"/>
      <color rgb="FFFF0000"/>
      <name val="Calibri"/>
    </font>
    <font>
      <b/>
      <color theme="1"/>
      <name val="Calibri"/>
      <scheme val="minor"/>
    </font>
    <font>
      <sz val="12.0"/>
      <color rgb="FF1E1E1E"/>
      <name val="Calibri"/>
    </font>
    <font>
      <b/>
      <sz val="9.0"/>
      <color theme="1"/>
      <name val="Arial"/>
    </font>
    <font>
      <sz val="12.0"/>
      <color theme="1"/>
      <name val="Arial"/>
    </font>
    <font>
      <b/>
      <sz val="12.0"/>
      <color theme="1"/>
      <name val="Arial"/>
    </font>
    <font>
      <b/>
      <i/>
      <sz val="12.0"/>
      <color rgb="FF000000"/>
      <name val="Calibri"/>
    </font>
    <font>
      <b/>
      <sz val="20.0"/>
      <color theme="1"/>
      <name val="Calibri"/>
    </font>
    <font>
      <u/>
      <sz val="12.0"/>
      <color theme="4"/>
      <name val="Calibri"/>
    </font>
    <font>
      <sz val="20.0"/>
      <color theme="1"/>
      <name val="Calibri"/>
    </font>
  </fonts>
  <fills count="7">
    <fill>
      <patternFill patternType="none"/>
    </fill>
    <fill>
      <patternFill patternType="lightGray"/>
    </fill>
    <fill>
      <patternFill patternType="solid">
        <fgColor theme="6"/>
        <bgColor theme="6"/>
      </patternFill>
    </fill>
    <fill>
      <patternFill patternType="solid">
        <fgColor rgb="FFBFBFBF"/>
        <bgColor rgb="FFBFBFBF"/>
      </patternFill>
    </fill>
    <fill>
      <patternFill patternType="solid">
        <fgColor rgb="FFD8D8D8"/>
        <bgColor rgb="FFD8D8D8"/>
      </patternFill>
    </fill>
    <fill>
      <patternFill patternType="solid">
        <fgColor theme="1"/>
        <bgColor theme="1"/>
      </patternFill>
    </fill>
    <fill>
      <patternFill patternType="solid">
        <fgColor rgb="FF000000"/>
        <bgColor rgb="FF000000"/>
      </patternFill>
    </fill>
  </fills>
  <borders count="26">
    <border/>
    <border>
      <left/>
      <top/>
      <bottom/>
    </border>
    <border>
      <top/>
      <bottom/>
    </border>
    <border>
      <right/>
      <top/>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left style="thin">
        <color rgb="FF000000"/>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border>
    <border>
      <right/>
      <top/>
      <bottom style="thin">
        <color rgb="FF000000"/>
      </bottom>
    </border>
    <border>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top style="thin">
        <color rgb="FF000000"/>
      </top>
    </border>
    <border>
      <left/>
      <right/>
      <top/>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shrinkToFit="0" vertical="top" wrapText="1"/>
    </xf>
    <xf borderId="0" fillId="0" fontId="1" numFmtId="0" xfId="0" applyFont="1"/>
    <xf borderId="0" fillId="0" fontId="3" numFmtId="0" xfId="0" applyFont="1"/>
    <xf borderId="0" fillId="0" fontId="2" numFmtId="0" xfId="0" applyAlignment="1" applyFont="1">
      <alignment horizontal="left" shrinkToFit="0" wrapText="1"/>
    </xf>
    <xf borderId="0" fillId="0" fontId="2" numFmtId="0" xfId="0" applyAlignment="1" applyFont="1">
      <alignment shrinkToFit="0" wrapText="1"/>
    </xf>
    <xf borderId="0" fillId="0" fontId="4" numFmtId="0" xfId="0" applyAlignment="1" applyFont="1">
      <alignment horizontal="center"/>
    </xf>
    <xf borderId="1" fillId="2" fontId="5" numFmtId="0" xfId="0" applyAlignment="1" applyBorder="1" applyFill="1" applyFont="1">
      <alignment horizontal="center"/>
    </xf>
    <xf borderId="2" fillId="0" fontId="6" numFmtId="0" xfId="0" applyBorder="1" applyFont="1"/>
    <xf borderId="3" fillId="0" fontId="6" numFmtId="0" xfId="0" applyBorder="1" applyFont="1"/>
    <xf borderId="0" fillId="0" fontId="5" numFmtId="0" xfId="0" applyFont="1"/>
    <xf borderId="0" fillId="0" fontId="2" numFmtId="0" xfId="0" applyAlignment="1" applyFont="1">
      <alignment horizontal="left"/>
    </xf>
    <xf borderId="4" fillId="0" fontId="2" numFmtId="0" xfId="0" applyAlignment="1" applyBorder="1" applyFont="1">
      <alignment horizontal="center" shrinkToFit="0" vertical="center" wrapText="1"/>
    </xf>
    <xf borderId="5" fillId="0" fontId="6" numFmtId="0" xfId="0" applyBorder="1" applyFont="1"/>
    <xf borderId="4" fillId="0" fontId="2" numFmtId="164" xfId="0" applyAlignment="1" applyBorder="1" applyFont="1" applyNumberFormat="1">
      <alignment horizontal="center" shrinkToFit="0" vertical="center" wrapText="1"/>
    </xf>
    <xf borderId="0" fillId="0" fontId="2" numFmtId="0" xfId="0" applyAlignment="1" applyFont="1">
      <alignment horizontal="left" vertical="top"/>
    </xf>
    <xf borderId="4" fillId="0" fontId="2" numFmtId="165" xfId="0" applyAlignment="1" applyBorder="1" applyFont="1" applyNumberFormat="1">
      <alignment horizontal="center" shrinkToFit="0" vertical="center" wrapText="1"/>
    </xf>
    <xf borderId="4" fillId="0" fontId="2" numFmtId="1" xfId="0" applyAlignment="1" applyBorder="1" applyFont="1" applyNumberFormat="1">
      <alignment horizontal="center" shrinkToFit="0" vertical="center" wrapText="1"/>
    </xf>
    <xf borderId="4" fillId="0" fontId="7" numFmtId="0" xfId="0" applyBorder="1" applyFont="1"/>
    <xf borderId="0" fillId="0" fontId="8" numFmtId="0" xfId="0" applyAlignment="1" applyFont="1">
      <alignment horizontal="center" vertical="center"/>
    </xf>
    <xf borderId="4" fillId="0" fontId="2" numFmtId="0" xfId="0" applyAlignment="1" applyBorder="1" applyFont="1">
      <alignment horizontal="center"/>
    </xf>
    <xf borderId="0" fillId="0" fontId="2" numFmtId="0" xfId="0" applyAlignment="1" applyFont="1">
      <alignment horizontal="center"/>
    </xf>
    <xf borderId="0" fillId="0" fontId="2" numFmtId="0" xfId="0" applyAlignment="1" applyFont="1">
      <alignment shrinkToFit="0" vertical="top" wrapText="1"/>
    </xf>
    <xf borderId="0" fillId="0" fontId="9" numFmtId="0" xfId="0" applyAlignment="1" applyFont="1">
      <alignment horizontal="right" shrinkToFit="0" vertical="top" wrapText="1"/>
    </xf>
    <xf borderId="4" fillId="0" fontId="10" numFmtId="0" xfId="0" applyAlignment="1" applyBorder="1" applyFont="1">
      <alignment horizontal="left" shrinkToFit="0" vertical="top" wrapText="1"/>
    </xf>
    <xf borderId="0" fillId="0" fontId="9" numFmtId="0" xfId="0" applyFont="1"/>
    <xf borderId="5" fillId="0" fontId="2" numFmtId="0" xfId="0" applyBorder="1" applyFont="1"/>
    <xf borderId="0" fillId="0" fontId="11" numFmtId="0" xfId="0" applyAlignment="1" applyFont="1">
      <alignment horizontal="center" shrinkToFit="0" vertical="center" wrapText="1"/>
    </xf>
    <xf borderId="4" fillId="0" fontId="2" numFmtId="0" xfId="0" applyAlignment="1" applyBorder="1" applyFont="1">
      <alignment horizontal="center" vertical="center"/>
    </xf>
    <xf borderId="4" fillId="0" fontId="2" numFmtId="164" xfId="0" applyAlignment="1" applyBorder="1" applyFont="1" applyNumberFormat="1">
      <alignment horizontal="center" vertical="center"/>
    </xf>
    <xf borderId="4" fillId="0" fontId="2" numFmtId="165" xfId="0" applyAlignment="1" applyBorder="1" applyFont="1" applyNumberFormat="1">
      <alignment horizontal="center" vertical="center"/>
    </xf>
    <xf borderId="4" fillId="0" fontId="12" numFmtId="0" xfId="0" applyAlignment="1" applyBorder="1" applyFont="1">
      <alignment horizontal="center" vertical="center"/>
    </xf>
    <xf borderId="4" fillId="0" fontId="13" numFmtId="49" xfId="0" applyAlignment="1" applyBorder="1" applyFont="1" applyNumberFormat="1">
      <alignment horizontal="center"/>
    </xf>
    <xf borderId="0" fillId="0" fontId="14" numFmtId="0" xfId="0" applyFont="1"/>
    <xf borderId="4" fillId="0" fontId="15" numFmtId="0" xfId="0" applyAlignment="1" applyBorder="1" applyFont="1">
      <alignment horizontal="center"/>
    </xf>
    <xf borderId="0" fillId="0" fontId="16" numFmtId="0" xfId="0" applyFont="1"/>
    <xf borderId="4" fillId="0" fontId="2" numFmtId="0" xfId="0" applyAlignment="1" applyBorder="1" applyFont="1">
      <alignment horizontal="left" shrinkToFit="0" vertical="top" wrapText="1"/>
    </xf>
    <xf borderId="4" fillId="0" fontId="17" numFmtId="49" xfId="0" applyAlignment="1" applyBorder="1" applyFont="1" applyNumberFormat="1">
      <alignment horizontal="center"/>
    </xf>
    <xf borderId="4" fillId="0" fontId="17" numFmtId="0" xfId="0" applyAlignment="1" applyBorder="1" applyFont="1">
      <alignment horizontal="center"/>
    </xf>
    <xf borderId="0" fillId="0" fontId="2" numFmtId="0" xfId="0" applyFont="1"/>
    <xf borderId="0" fillId="0" fontId="17" numFmtId="0" xfId="0" applyFont="1"/>
    <xf borderId="0" fillId="0" fontId="5" numFmtId="0" xfId="0" applyAlignment="1" applyFont="1">
      <alignment readingOrder="0"/>
    </xf>
    <xf borderId="0" fillId="0" fontId="18" numFmtId="0" xfId="0" applyAlignment="1" applyFont="1">
      <alignment readingOrder="0"/>
    </xf>
    <xf borderId="0" fillId="0" fontId="19" numFmtId="0" xfId="0" applyAlignment="1" applyFont="1">
      <alignment horizontal="left" shrinkToFit="0" vertical="top" wrapText="1"/>
    </xf>
    <xf borderId="1" fillId="3" fontId="5" numFmtId="0" xfId="0" applyAlignment="1" applyBorder="1" applyFill="1" applyFont="1">
      <alignment horizontal="center"/>
    </xf>
    <xf borderId="0" fillId="0" fontId="20" numFmtId="0" xfId="0" applyAlignment="1" applyFont="1">
      <alignment horizontal="left" shrinkToFit="0" vertical="top" wrapText="1"/>
    </xf>
    <xf borderId="0" fillId="0" fontId="21" numFmtId="0" xfId="0" applyFont="1"/>
    <xf borderId="0" fillId="0" fontId="22" numFmtId="0" xfId="0" applyAlignment="1" applyFont="1">
      <alignment vertical="center"/>
    </xf>
    <xf borderId="4" fillId="0" fontId="2" numFmtId="0" xfId="0" applyBorder="1" applyFont="1"/>
    <xf borderId="6" fillId="4" fontId="1" numFmtId="0" xfId="0" applyAlignment="1" applyBorder="1" applyFill="1" applyFont="1">
      <alignment horizontal="center" vertical="center"/>
    </xf>
    <xf borderId="7" fillId="0" fontId="6" numFmtId="0" xfId="0" applyBorder="1" applyFont="1"/>
    <xf borderId="4" fillId="0" fontId="2" numFmtId="0" xfId="0" applyAlignment="1" applyBorder="1" applyFont="1">
      <alignment shrinkToFit="0" wrapText="1"/>
    </xf>
    <xf borderId="4" fillId="0" fontId="1" numFmtId="0" xfId="0" applyAlignment="1" applyBorder="1" applyFont="1">
      <alignment horizontal="center" shrinkToFit="0" vertical="center" wrapText="1"/>
    </xf>
    <xf borderId="8" fillId="5" fontId="23" numFmtId="0" xfId="0" applyBorder="1" applyFill="1" applyFont="1"/>
    <xf borderId="9" fillId="5" fontId="23" numFmtId="0" xfId="0" applyAlignment="1" applyBorder="1" applyFont="1">
      <alignment horizontal="center"/>
    </xf>
    <xf borderId="10" fillId="0" fontId="6" numFmtId="0" xfId="0" applyBorder="1" applyFont="1"/>
    <xf borderId="4" fillId="0" fontId="20" numFmtId="0" xfId="0" applyAlignment="1" applyBorder="1" applyFont="1">
      <alignment horizontal="left" shrinkToFit="0" vertical="center" wrapText="1"/>
    </xf>
    <xf borderId="4" fillId="0" fontId="2" numFmtId="166" xfId="0" applyAlignment="1" applyBorder="1" applyFont="1" applyNumberFormat="1">
      <alignment horizontal="center" vertical="center"/>
    </xf>
    <xf borderId="4" fillId="4" fontId="24" numFmtId="0" xfId="0" applyAlignment="1" applyBorder="1" applyFont="1">
      <alignment horizontal="right" shrinkToFit="0" vertical="center" wrapText="1"/>
    </xf>
    <xf borderId="4" fillId="4" fontId="1" numFmtId="166" xfId="0" applyAlignment="1" applyBorder="1" applyFont="1" applyNumberFormat="1">
      <alignment horizontal="center" vertical="center"/>
    </xf>
    <xf borderId="4" fillId="0" fontId="2" numFmtId="166" xfId="0" applyAlignment="1" applyBorder="1" applyFont="1" applyNumberFormat="1">
      <alignment horizontal="center" readingOrder="0" vertical="center"/>
    </xf>
    <xf borderId="0" fillId="0" fontId="24" numFmtId="0" xfId="0" applyAlignment="1" applyFont="1">
      <alignment horizontal="left" shrinkToFit="0" vertical="center" wrapText="1"/>
    </xf>
    <xf borderId="4" fillId="0" fontId="1" numFmtId="166" xfId="0" applyAlignment="1" applyBorder="1" applyFont="1" applyNumberFormat="1">
      <alignment horizontal="center" vertical="center"/>
    </xf>
    <xf borderId="0" fillId="0" fontId="1" numFmtId="166" xfId="0" applyAlignment="1" applyFont="1" applyNumberFormat="1">
      <alignment horizontal="center" vertical="center"/>
    </xf>
    <xf borderId="0" fillId="0" fontId="24" numFmtId="0" xfId="0" applyAlignment="1" applyFont="1">
      <alignment horizontal="right" shrinkToFit="0" vertical="center" wrapText="1"/>
    </xf>
    <xf borderId="11" fillId="5" fontId="23" numFmtId="0" xfId="0" applyAlignment="1" applyBorder="1" applyFont="1">
      <alignment shrinkToFit="0" vertical="center" wrapText="1"/>
    </xf>
    <xf borderId="12" fillId="5" fontId="23" numFmtId="0" xfId="0" applyAlignment="1" applyBorder="1" applyFont="1">
      <alignment horizontal="center" shrinkToFit="0" vertical="center" wrapText="1"/>
    </xf>
    <xf borderId="13" fillId="0" fontId="6" numFmtId="0" xfId="0" applyBorder="1" applyFont="1"/>
    <xf borderId="14" fillId="0" fontId="6" numFmtId="0" xfId="0" applyBorder="1" applyFont="1"/>
    <xf borderId="0" fillId="0" fontId="25" numFmtId="0" xfId="0" applyAlignment="1" applyFont="1">
      <alignment horizontal="left" shrinkToFit="0" vertical="top" wrapText="1"/>
    </xf>
    <xf borderId="0" fillId="0" fontId="25" numFmtId="0" xfId="0" applyAlignment="1" applyFont="1">
      <alignment horizontal="left" shrinkToFit="0" vertical="center" wrapText="1"/>
    </xf>
    <xf borderId="0" fillId="0" fontId="26"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4" numFmtId="0" xfId="0" applyAlignment="1" applyFont="1">
      <alignment shrinkToFit="0" vertical="center" wrapText="1"/>
    </xf>
    <xf borderId="0" fillId="0" fontId="20" numFmtId="0" xfId="0" applyAlignment="1" applyFont="1">
      <alignment horizontal="center" shrinkToFit="0" vertical="center" wrapText="1"/>
    </xf>
    <xf borderId="4" fillId="0" fontId="20" numFmtId="166" xfId="0" applyAlignment="1" applyBorder="1" applyFont="1" applyNumberFormat="1">
      <alignment horizontal="center" shrinkToFit="0" vertical="center" wrapText="1"/>
    </xf>
    <xf borderId="4" fillId="3" fontId="20" numFmtId="166" xfId="0" applyAlignment="1" applyBorder="1" applyFont="1" applyNumberFormat="1">
      <alignment horizontal="center" shrinkToFit="0" vertical="center" wrapText="1"/>
    </xf>
    <xf borderId="4" fillId="3" fontId="2" numFmtId="166" xfId="0" applyAlignment="1" applyBorder="1" applyFont="1" applyNumberFormat="1">
      <alignment horizontal="center" vertical="center"/>
    </xf>
    <xf borderId="0" fillId="0" fontId="2" numFmtId="0" xfId="0" applyAlignment="1" applyFont="1">
      <alignment horizontal="center" vertical="center"/>
    </xf>
    <xf borderId="0" fillId="0" fontId="2" numFmtId="1" xfId="0" applyAlignment="1" applyFont="1" applyNumberFormat="1">
      <alignment horizontal="center" vertical="center"/>
    </xf>
    <xf borderId="0" fillId="0" fontId="20" numFmtId="0" xfId="0" applyAlignment="1" applyFont="1">
      <alignment vertical="center"/>
    </xf>
    <xf borderId="0" fillId="0" fontId="24" numFmtId="0" xfId="0" applyAlignment="1" applyFont="1">
      <alignment horizontal="center" shrinkToFit="0" vertical="center" wrapText="1"/>
    </xf>
    <xf borderId="0" fillId="0" fontId="20" numFmtId="0" xfId="0" applyAlignment="1" applyFont="1">
      <alignment horizontal="right" vertical="center"/>
    </xf>
    <xf borderId="4" fillId="0" fontId="20" numFmtId="166" xfId="0" applyAlignment="1" applyBorder="1" applyFont="1" applyNumberFormat="1">
      <alignment horizontal="center" vertical="center"/>
    </xf>
    <xf borderId="0" fillId="0" fontId="20" numFmtId="0" xfId="0" applyAlignment="1" applyFont="1">
      <alignment horizontal="right" shrinkToFit="0" vertical="center" wrapText="1"/>
    </xf>
    <xf borderId="0" fillId="0" fontId="20" numFmtId="1" xfId="0" applyAlignment="1" applyFont="1" applyNumberFormat="1">
      <alignment horizontal="right" shrinkToFit="0" vertical="center" wrapText="1"/>
    </xf>
    <xf borderId="0" fillId="0" fontId="20" numFmtId="0" xfId="0" applyAlignment="1" applyFont="1">
      <alignment horizontal="left" shrinkToFit="0" vertical="center" wrapText="1"/>
    </xf>
    <xf borderId="0" fillId="0" fontId="2" numFmtId="0" xfId="0" applyAlignment="1" applyFont="1">
      <alignment horizontal="right"/>
    </xf>
    <xf borderId="4" fillId="0" fontId="25" numFmtId="166" xfId="0" applyAlignment="1" applyBorder="1" applyFont="1" applyNumberFormat="1">
      <alignment horizontal="center"/>
    </xf>
    <xf borderId="0" fillId="0" fontId="27" numFmtId="0" xfId="0" applyAlignment="1" applyFont="1">
      <alignment readingOrder="0" shrinkToFit="0" vertical="bottom" wrapText="0"/>
    </xf>
    <xf borderId="4" fillId="0" fontId="25" numFmtId="166" xfId="0" applyAlignment="1" applyBorder="1" applyFont="1" applyNumberFormat="1">
      <alignment horizontal="center" vertical="center"/>
    </xf>
    <xf borderId="15" fillId="0" fontId="20" numFmtId="1" xfId="0" applyAlignment="1" applyBorder="1" applyFont="1" applyNumberFormat="1">
      <alignment horizontal="right" shrinkToFit="0" vertical="center" wrapText="1"/>
    </xf>
    <xf borderId="0" fillId="0" fontId="20" numFmtId="1" xfId="0" applyAlignment="1" applyFont="1" applyNumberFormat="1">
      <alignment horizontal="center" shrinkToFit="0" vertical="center" wrapText="1"/>
    </xf>
    <xf borderId="0" fillId="0" fontId="28" numFmtId="0" xfId="0" applyAlignment="1" applyFont="1">
      <alignment horizontal="left" shrinkToFit="0" vertical="top" wrapText="1"/>
    </xf>
    <xf borderId="0" fillId="0" fontId="28" numFmtId="0" xfId="0" applyAlignment="1" applyFont="1">
      <alignment shrinkToFit="0" vertical="center" wrapText="1"/>
    </xf>
    <xf borderId="0" fillId="0" fontId="29" numFmtId="0" xfId="0" applyAlignment="1" applyFont="1">
      <alignment shrinkToFit="0" vertical="center" wrapText="1"/>
    </xf>
    <xf borderId="0" fillId="0" fontId="30" numFmtId="0" xfId="0" applyAlignment="1" applyFont="1">
      <alignment horizontal="left" shrinkToFit="0" vertical="top" wrapText="1"/>
    </xf>
    <xf borderId="0" fillId="0" fontId="31" numFmtId="0" xfId="0" applyAlignment="1" applyFont="1">
      <alignment horizontal="center" shrinkToFit="0" vertical="top" wrapText="1"/>
    </xf>
    <xf borderId="0" fillId="0" fontId="9" numFmtId="0" xfId="0" applyAlignment="1" applyFont="1">
      <alignment horizontal="left" shrinkToFit="0" vertical="top" wrapText="1"/>
    </xf>
    <xf borderId="12" fillId="5" fontId="32" numFmtId="0" xfId="0" applyAlignment="1" applyBorder="1" applyFont="1">
      <alignment horizontal="center"/>
    </xf>
    <xf borderId="16" fillId="0" fontId="6" numFmtId="0" xfId="0" applyBorder="1" applyFont="1"/>
    <xf borderId="17" fillId="0" fontId="6" numFmtId="0" xfId="0" applyBorder="1" applyFont="1"/>
    <xf borderId="4" fillId="0" fontId="1" numFmtId="0" xfId="0" applyAlignment="1" applyBorder="1" applyFont="1">
      <alignment horizontal="center" vertical="center"/>
    </xf>
    <xf borderId="6" fillId="0" fontId="2" numFmtId="0" xfId="0" applyAlignment="1" applyBorder="1" applyFont="1">
      <alignment horizontal="left" shrinkToFit="0" vertical="center" wrapText="1"/>
    </xf>
    <xf borderId="4" fillId="4" fontId="2" numFmtId="166" xfId="0" applyAlignment="1" applyBorder="1" applyFont="1" applyNumberFormat="1">
      <alignment horizontal="center" vertical="center"/>
    </xf>
    <xf borderId="6" fillId="0" fontId="2" numFmtId="0" xfId="0" applyAlignment="1" applyBorder="1" applyFont="1">
      <alignment horizontal="left" shrinkToFit="0" vertical="top" wrapText="1"/>
    </xf>
    <xf borderId="6" fillId="0" fontId="1" numFmtId="0" xfId="0" applyAlignment="1" applyBorder="1" applyFont="1">
      <alignment horizontal="right" shrinkToFit="0" vertical="center" wrapText="1"/>
    </xf>
    <xf borderId="4" fillId="4" fontId="2" numFmtId="9" xfId="0" applyAlignment="1" applyBorder="1" applyFont="1" applyNumberFormat="1">
      <alignment horizontal="center" vertical="center"/>
    </xf>
    <xf borderId="0" fillId="0" fontId="1" numFmtId="0" xfId="0" applyAlignment="1" applyFont="1">
      <alignment horizontal="right" shrinkToFit="0" vertical="top" wrapText="1"/>
    </xf>
    <xf borderId="0" fillId="0" fontId="2" numFmtId="10" xfId="0" applyAlignment="1" applyFont="1" applyNumberFormat="1">
      <alignment horizontal="center" vertical="center"/>
    </xf>
    <xf borderId="6" fillId="0" fontId="1" numFmtId="0" xfId="0" applyAlignment="1" applyBorder="1" applyFont="1">
      <alignment horizontal="right" shrinkToFit="0" vertical="top" wrapText="1"/>
    </xf>
    <xf borderId="0" fillId="0" fontId="1" numFmtId="0" xfId="0" applyAlignment="1" applyFont="1">
      <alignment horizontal="center" shrinkToFit="0" vertical="top" wrapText="1"/>
    </xf>
    <xf borderId="6" fillId="0" fontId="33" numFmtId="0" xfId="0" applyAlignment="1" applyBorder="1" applyFont="1">
      <alignment horizontal="left" shrinkToFit="0" vertical="top" wrapText="1"/>
    </xf>
    <xf borderId="4" fillId="5" fontId="23" numFmtId="0" xfId="0" applyAlignment="1" applyBorder="1" applyFont="1">
      <alignment horizontal="center" vertical="center"/>
    </xf>
    <xf borderId="6" fillId="0" fontId="26" numFmtId="0" xfId="0" applyAlignment="1" applyBorder="1" applyFont="1">
      <alignment horizontal="left" shrinkToFit="0" vertical="top" wrapText="1"/>
    </xf>
    <xf borderId="6" fillId="0" fontId="25" numFmtId="0" xfId="0" applyAlignment="1" applyBorder="1" applyFont="1">
      <alignment horizontal="left" shrinkToFit="0" vertical="top" wrapText="1"/>
    </xf>
    <xf borderId="4" fillId="4" fontId="25" numFmtId="166" xfId="0" applyAlignment="1" applyBorder="1" applyFont="1" applyNumberFormat="1">
      <alignment horizontal="center" vertical="center"/>
    </xf>
    <xf borderId="0" fillId="0" fontId="1" numFmtId="0" xfId="0" applyAlignment="1" applyFont="1">
      <alignment horizontal="right"/>
    </xf>
    <xf borderId="4" fillId="0" fontId="2" numFmtId="9" xfId="0" applyAlignment="1" applyBorder="1" applyFont="1" applyNumberFormat="1">
      <alignment horizontal="center"/>
    </xf>
    <xf borderId="0" fillId="2" fontId="5" numFmtId="0" xfId="0" applyAlignment="1" applyFont="1">
      <alignment horizontal="center"/>
    </xf>
    <xf borderId="0" fillId="0" fontId="2" numFmtId="0" xfId="0" applyAlignment="1" applyFont="1">
      <alignment vertical="top"/>
    </xf>
    <xf borderId="0" fillId="0" fontId="30" numFmtId="0" xfId="0" applyAlignment="1" applyFont="1">
      <alignment horizontal="center" vertical="top"/>
    </xf>
    <xf borderId="0" fillId="0" fontId="28" numFmtId="0" xfId="0" applyAlignment="1" applyFont="1">
      <alignment horizontal="left" vertical="top"/>
    </xf>
    <xf borderId="0" fillId="0" fontId="2" numFmtId="166" xfId="0" applyAlignment="1" applyFont="1" applyNumberFormat="1">
      <alignment horizontal="center" shrinkToFit="0" vertical="center" wrapText="1"/>
    </xf>
    <xf borderId="0" fillId="0" fontId="28" numFmtId="0" xfId="0" applyAlignment="1" applyFont="1">
      <alignment horizontal="right" vertical="top"/>
    </xf>
    <xf borderId="0" fillId="0" fontId="2" numFmtId="166" xfId="0" applyAlignment="1" applyFont="1" applyNumberFormat="1">
      <alignment horizontal="center" vertical="center"/>
    </xf>
    <xf borderId="0" fillId="0" fontId="2" numFmtId="0" xfId="0" applyAlignment="1" applyFont="1">
      <alignment horizontal="right" vertical="top"/>
    </xf>
    <xf borderId="0" fillId="0" fontId="34" numFmtId="0" xfId="0" applyAlignment="1" applyFont="1">
      <alignment horizontal="right" shrinkToFit="0" wrapText="1"/>
    </xf>
    <xf borderId="4" fillId="0" fontId="28" numFmtId="0" xfId="0" applyAlignment="1" applyBorder="1" applyFont="1">
      <alignment horizontal="right" vertical="top"/>
    </xf>
    <xf borderId="0" fillId="0" fontId="35" numFmtId="0" xfId="0" applyAlignment="1" applyFont="1">
      <alignment readingOrder="0"/>
    </xf>
    <xf borderId="4" fillId="0" fontId="2" numFmtId="0" xfId="0" applyAlignment="1" applyBorder="1" applyFont="1">
      <alignment horizontal="right"/>
    </xf>
    <xf borderId="4" fillId="0" fontId="2" numFmtId="166" xfId="0" applyAlignment="1" applyBorder="1" applyFont="1" applyNumberFormat="1">
      <alignment horizontal="center"/>
    </xf>
    <xf borderId="4" fillId="0" fontId="2" numFmtId="3" xfId="0" applyAlignment="1" applyBorder="1" applyFont="1" applyNumberFormat="1">
      <alignment horizontal="center" vertical="center"/>
    </xf>
    <xf borderId="0" fillId="0" fontId="9" numFmtId="0" xfId="0" applyAlignment="1" applyFont="1">
      <alignment horizontal="right"/>
    </xf>
    <xf borderId="0" fillId="0" fontId="36" numFmtId="0" xfId="0" applyFont="1"/>
    <xf borderId="4" fillId="0" fontId="25" numFmtId="0" xfId="0" applyAlignment="1" applyBorder="1" applyFont="1">
      <alignment horizontal="center" shrinkToFit="0" vertical="center" wrapText="1"/>
    </xf>
    <xf borderId="0" fillId="0" fontId="2" numFmtId="166" xfId="0" applyAlignment="1" applyFont="1" applyNumberFormat="1">
      <alignment horizontal="center"/>
    </xf>
    <xf borderId="0" fillId="0" fontId="2" numFmtId="49" xfId="0" applyAlignment="1" applyFont="1" applyNumberFormat="1">
      <alignment shrinkToFit="0" vertical="top" wrapText="1"/>
    </xf>
    <xf borderId="4" fillId="0" fontId="2" numFmtId="49" xfId="0" applyAlignment="1" applyBorder="1" applyFont="1" applyNumberFormat="1">
      <alignment shrinkToFit="0" vertical="top" wrapText="1"/>
    </xf>
    <xf borderId="0" fillId="0" fontId="2" numFmtId="0" xfId="0" applyAlignment="1" applyFont="1">
      <alignment readingOrder="0" shrinkToFit="0" wrapText="1"/>
    </xf>
    <xf borderId="4" fillId="0" fontId="2" numFmtId="0" xfId="0" applyAlignment="1" applyBorder="1" applyFont="1">
      <alignment readingOrder="0" shrinkToFit="0" wrapText="1"/>
    </xf>
    <xf borderId="0" fillId="0" fontId="2" numFmtId="49" xfId="0" applyAlignment="1" applyFont="1" applyNumberFormat="1">
      <alignment horizontal="left" readingOrder="0" shrinkToFit="0" vertical="top" wrapText="1"/>
    </xf>
    <xf borderId="4" fillId="0" fontId="2" numFmtId="49" xfId="0" applyAlignment="1" applyBorder="1" applyFont="1" applyNumberFormat="1">
      <alignment horizontal="left" readingOrder="0" shrinkToFit="0" vertical="top" wrapText="1"/>
    </xf>
    <xf borderId="4" fillId="0" fontId="25" numFmtId="0" xfId="0" applyAlignment="1" applyBorder="1" applyFont="1">
      <alignment horizontal="center" vertical="center"/>
    </xf>
    <xf borderId="0" fillId="0" fontId="37" numFmtId="0" xfId="0" applyAlignment="1" applyFont="1">
      <alignment readingOrder="0"/>
    </xf>
    <xf borderId="0" fillId="0" fontId="2" numFmtId="49" xfId="0" applyAlignment="1" applyFont="1" applyNumberFormat="1">
      <alignment horizontal="left" shrinkToFit="0" vertical="top" wrapText="1"/>
    </xf>
    <xf borderId="4" fillId="0" fontId="2" numFmtId="49" xfId="0" applyAlignment="1" applyBorder="1" applyFont="1" applyNumberFormat="1">
      <alignment horizontal="left" shrinkToFit="0" vertical="top" wrapText="1"/>
    </xf>
    <xf borderId="0" fillId="0" fontId="38" numFmtId="0" xfId="0" applyAlignment="1" applyFont="1">
      <alignment horizontal="left"/>
    </xf>
    <xf borderId="0" fillId="0" fontId="10" numFmtId="0" xfId="0" applyFont="1"/>
    <xf borderId="4" fillId="0" fontId="2" numFmtId="167" xfId="0" applyAlignment="1" applyBorder="1" applyFont="1" applyNumberFormat="1">
      <alignment horizontal="center" vertical="center"/>
    </xf>
    <xf borderId="0" fillId="0" fontId="39" numFmtId="0" xfId="0" applyFont="1"/>
    <xf borderId="4" fillId="0" fontId="2" numFmtId="0" xfId="0" applyAlignment="1" applyBorder="1" applyFont="1">
      <alignment shrinkToFit="0" vertical="top" wrapText="1"/>
    </xf>
    <xf borderId="4" fillId="0" fontId="1" numFmtId="0" xfId="0" applyAlignment="1" applyBorder="1" applyFont="1">
      <alignment horizontal="center" vertical="bottom"/>
    </xf>
    <xf borderId="0" fillId="0" fontId="3" numFmtId="0" xfId="0" applyAlignment="1" applyFont="1">
      <alignment readingOrder="0"/>
    </xf>
    <xf borderId="18" fillId="0" fontId="1" numFmtId="0" xfId="0" applyAlignment="1" applyBorder="1" applyFont="1">
      <alignment horizontal="center" vertical="bottom"/>
    </xf>
    <xf borderId="18" fillId="0" fontId="2" numFmtId="0" xfId="0" applyAlignment="1" applyBorder="1" applyFont="1">
      <alignment vertical="bottom"/>
    </xf>
    <xf borderId="0" fillId="0" fontId="9" numFmtId="0" xfId="0" applyAlignment="1" applyFont="1">
      <alignment horizontal="left"/>
    </xf>
    <xf borderId="0" fillId="0" fontId="2" numFmtId="0" xfId="0" applyAlignment="1" applyFont="1">
      <alignment horizontal="left" vertical="center"/>
    </xf>
    <xf borderId="4" fillId="0" fontId="2" numFmtId="3" xfId="0" applyAlignment="1" applyBorder="1" applyFont="1" applyNumberFormat="1">
      <alignment horizontal="center"/>
    </xf>
    <xf borderId="0" fillId="0" fontId="1" numFmtId="0" xfId="0" applyAlignment="1" applyFont="1">
      <alignment horizontal="center" vertical="center"/>
    </xf>
    <xf borderId="4" fillId="0" fontId="2" numFmtId="1" xfId="0" applyAlignment="1" applyBorder="1" applyFont="1" applyNumberFormat="1">
      <alignment horizontal="center" vertical="center"/>
    </xf>
    <xf borderId="0" fillId="0" fontId="1" numFmtId="0" xfId="0" applyAlignment="1" applyFont="1">
      <alignment horizontal="left" shrinkToFit="0" wrapText="1"/>
    </xf>
    <xf borderId="0" fillId="0" fontId="2" numFmtId="0" xfId="0" applyAlignment="1" applyFont="1">
      <alignment horizontal="right" shrinkToFit="0" vertical="center" wrapText="1"/>
    </xf>
    <xf borderId="5" fillId="0" fontId="2" numFmtId="0" xfId="0" applyAlignment="1" applyBorder="1" applyFont="1">
      <alignment horizontal="right" shrinkToFit="0" vertical="center" wrapText="1"/>
    </xf>
    <xf borderId="7" fillId="0" fontId="1" numFmtId="0" xfId="0" applyAlignment="1" applyBorder="1" applyFont="1">
      <alignment horizontal="center" shrinkToFit="0" vertical="center" wrapText="1"/>
    </xf>
    <xf borderId="0" fillId="0" fontId="2" numFmtId="0" xfId="0" applyAlignment="1" applyFont="1">
      <alignment horizontal="right" vertical="center"/>
    </xf>
    <xf borderId="5" fillId="0" fontId="2" numFmtId="0" xfId="0" applyAlignment="1" applyBorder="1" applyFont="1">
      <alignment horizontal="right" vertical="center"/>
    </xf>
    <xf borderId="7" fillId="0" fontId="2" numFmtId="9" xfId="0" applyAlignment="1" applyBorder="1" applyFont="1" applyNumberFormat="1">
      <alignment horizontal="center" vertical="center"/>
    </xf>
    <xf borderId="4" fillId="0" fontId="2" numFmtId="9" xfId="0" applyAlignment="1" applyBorder="1" applyFont="1" applyNumberFormat="1">
      <alignment horizontal="center" vertical="center"/>
    </xf>
    <xf borderId="5" fillId="0" fontId="9" numFmtId="0" xfId="0" applyAlignment="1" applyBorder="1" applyFont="1">
      <alignment horizontal="right"/>
    </xf>
    <xf borderId="19" fillId="3" fontId="2" numFmtId="9" xfId="0" applyAlignment="1" applyBorder="1" applyFont="1" applyNumberFormat="1">
      <alignment horizontal="center" vertical="center"/>
    </xf>
    <xf borderId="4" fillId="3" fontId="2" numFmtId="9" xfId="0" applyAlignment="1" applyBorder="1" applyFont="1" applyNumberFormat="1">
      <alignment horizontal="center" vertical="center"/>
    </xf>
    <xf borderId="5" fillId="0" fontId="2" numFmtId="49" xfId="0" applyAlignment="1" applyBorder="1" applyFont="1" applyNumberFormat="1">
      <alignment horizontal="right" vertical="center"/>
    </xf>
    <xf borderId="5" fillId="0" fontId="9" numFmtId="49" xfId="0" applyAlignment="1" applyBorder="1" applyFont="1" applyNumberFormat="1">
      <alignment horizontal="right"/>
    </xf>
    <xf borderId="4" fillId="0" fontId="1" numFmtId="0" xfId="0" applyAlignment="1" applyBorder="1" applyFont="1">
      <alignment horizontal="center"/>
    </xf>
    <xf borderId="0" fillId="0" fontId="2" numFmtId="49" xfId="0" applyAlignment="1" applyFont="1" applyNumberFormat="1">
      <alignment horizontal="right" vertical="center"/>
    </xf>
    <xf borderId="0" fillId="0" fontId="9" numFmtId="49" xfId="0" applyAlignment="1" applyFont="1" applyNumberFormat="1">
      <alignment horizontal="right"/>
    </xf>
    <xf borderId="5" fillId="0" fontId="1" numFmtId="0" xfId="0" applyAlignment="1" applyBorder="1" applyFont="1">
      <alignment horizontal="right"/>
    </xf>
    <xf borderId="7" fillId="0" fontId="1" numFmtId="0" xfId="0" applyAlignment="1" applyBorder="1" applyFont="1">
      <alignment horizontal="center"/>
    </xf>
    <xf borderId="7" fillId="0" fontId="2" numFmtId="168" xfId="0" applyAlignment="1" applyBorder="1" applyFont="1" applyNumberFormat="1">
      <alignment horizontal="center" vertical="center"/>
    </xf>
    <xf borderId="0" fillId="0" fontId="28" numFmtId="0" xfId="0" applyAlignment="1" applyFont="1">
      <alignment shrinkToFit="0" vertical="top" wrapText="1"/>
    </xf>
    <xf borderId="0" fillId="0" fontId="28" numFmtId="0" xfId="0" applyAlignment="1" applyFont="1">
      <alignment horizontal="left" shrinkToFit="0" vertical="center" wrapText="1"/>
    </xf>
    <xf borderId="0" fillId="0" fontId="9" numFmtId="0" xfId="0" applyAlignment="1" applyFont="1">
      <alignment horizontal="center"/>
    </xf>
    <xf borderId="0" fillId="0" fontId="9" numFmtId="0" xfId="0" applyAlignment="1" applyFont="1">
      <alignment horizontal="center" shrinkToFit="0" vertical="center" wrapText="1"/>
    </xf>
    <xf borderId="4" fillId="0" fontId="2" numFmtId="168" xfId="0" applyAlignment="1" applyBorder="1" applyFont="1" applyNumberFormat="1">
      <alignment horizontal="center"/>
    </xf>
    <xf borderId="4" fillId="0" fontId="2" numFmtId="168" xfId="0" applyAlignment="1" applyBorder="1" applyFont="1" applyNumberFormat="1">
      <alignment horizontal="center" vertical="bottom"/>
    </xf>
    <xf borderId="18" fillId="0" fontId="2" numFmtId="168" xfId="0" applyAlignment="1" applyBorder="1" applyFont="1" applyNumberFormat="1">
      <alignment horizontal="center" vertical="bottom"/>
    </xf>
    <xf borderId="0" fillId="0" fontId="28" numFmtId="0" xfId="0" applyAlignment="1" applyFont="1">
      <alignment horizontal="right" shrinkToFit="0" vertical="center" wrapText="1"/>
    </xf>
    <xf borderId="4" fillId="3" fontId="2" numFmtId="168" xfId="0" applyAlignment="1" applyBorder="1" applyFont="1" applyNumberFormat="1">
      <alignment horizontal="center"/>
    </xf>
    <xf borderId="0" fillId="0" fontId="9" numFmtId="0" xfId="0" applyAlignment="1" applyFont="1">
      <alignment horizontal="left" shrinkToFit="0" vertical="center" wrapText="1"/>
    </xf>
    <xf borderId="0" fillId="0" fontId="9" numFmtId="0" xfId="0" applyAlignment="1" applyFont="1">
      <alignment shrinkToFit="0" wrapText="1"/>
    </xf>
    <xf borderId="0" fillId="0" fontId="10" numFmtId="0" xfId="0" applyAlignment="1" applyFont="1">
      <alignment readingOrder="0"/>
    </xf>
    <xf borderId="0" fillId="0" fontId="28" numFmtId="0" xfId="0" applyFont="1"/>
    <xf borderId="4" fillId="0" fontId="2" numFmtId="169" xfId="0" applyAlignment="1" applyBorder="1" applyFont="1" applyNumberFormat="1">
      <alignment horizontal="center" vertical="center"/>
    </xf>
    <xf borderId="0" fillId="0" fontId="28" numFmtId="0" xfId="0" applyAlignment="1" applyFont="1">
      <alignment vertical="center"/>
    </xf>
    <xf borderId="4" fillId="0" fontId="2" numFmtId="168" xfId="0" applyAlignment="1" applyBorder="1" applyFont="1" applyNumberFormat="1">
      <alignment horizontal="center" readingOrder="0" vertical="center"/>
    </xf>
    <xf borderId="0" fillId="0" fontId="40" numFmtId="0" xfId="0" applyFont="1"/>
    <xf borderId="4" fillId="0" fontId="2" numFmtId="170" xfId="0" applyAlignment="1" applyBorder="1" applyFont="1" applyNumberFormat="1">
      <alignment horizontal="center"/>
    </xf>
    <xf borderId="4" fillId="0" fontId="2" numFmtId="170" xfId="0" applyAlignment="1" applyBorder="1" applyFont="1" applyNumberFormat="1">
      <alignment horizontal="center" vertical="center"/>
    </xf>
    <xf borderId="0" fillId="0" fontId="2" numFmtId="0" xfId="0" applyAlignment="1" applyFont="1">
      <alignment horizontal="center" shrinkToFit="0" wrapText="1"/>
    </xf>
    <xf borderId="4" fillId="0" fontId="2" numFmtId="0" xfId="0" applyAlignment="1" applyBorder="1" applyFont="1">
      <alignment horizontal="center" shrinkToFit="0" wrapText="1"/>
    </xf>
    <xf borderId="0" fillId="0" fontId="2" numFmtId="0" xfId="0" applyAlignment="1" applyFont="1">
      <alignment horizontal="left" shrinkToFit="0" vertical="center" wrapText="1"/>
    </xf>
    <xf borderId="0" fillId="0" fontId="2" numFmtId="0" xfId="0" applyAlignment="1" applyFont="1">
      <alignment horizontal="left" readingOrder="0" vertical="center"/>
    </xf>
    <xf borderId="0" fillId="0" fontId="2" numFmtId="49" xfId="0" applyAlignment="1" applyFont="1" applyNumberFormat="1">
      <alignment horizontal="center"/>
    </xf>
    <xf borderId="4" fillId="0" fontId="2" numFmtId="171" xfId="0" applyAlignment="1" applyBorder="1" applyFont="1" applyNumberFormat="1">
      <alignment horizontal="center"/>
    </xf>
    <xf borderId="0" fillId="0" fontId="2" numFmtId="49" xfId="0" applyAlignment="1" applyFont="1" applyNumberFormat="1">
      <alignment horizontal="center" shrinkToFit="0" vertical="center" wrapText="1"/>
    </xf>
    <xf borderId="4" fillId="0" fontId="2" numFmtId="49" xfId="0" applyAlignment="1" applyBorder="1" applyFont="1" applyNumberFormat="1">
      <alignment horizontal="center" shrinkToFit="0" vertical="center" wrapText="1"/>
    </xf>
    <xf borderId="0" fillId="0" fontId="41" numFmtId="0" xfId="0" applyFont="1"/>
    <xf borderId="4" fillId="0" fontId="2" numFmtId="0" xfId="0" applyAlignment="1" applyBorder="1" applyFont="1">
      <alignment horizontal="center" readingOrder="0" vertical="center"/>
    </xf>
    <xf borderId="0" fillId="0" fontId="42" numFmtId="0" xfId="0" applyAlignment="1" applyFont="1">
      <alignment readingOrder="0"/>
    </xf>
    <xf borderId="0" fillId="0" fontId="2" numFmtId="167" xfId="0" applyFont="1" applyNumberFormat="1"/>
    <xf borderId="0" fillId="0" fontId="2" numFmtId="3" xfId="0" applyAlignment="1" applyFont="1" applyNumberFormat="1">
      <alignment horizontal="center"/>
    </xf>
    <xf borderId="4" fillId="0" fontId="2" numFmtId="0" xfId="0" applyAlignment="1" applyBorder="1" applyFont="1">
      <alignment horizontal="center" readingOrder="0"/>
    </xf>
    <xf borderId="0" fillId="3" fontId="5" numFmtId="0" xfId="0" applyAlignment="1" applyFont="1">
      <alignment horizontal="center"/>
    </xf>
    <xf borderId="0" fillId="0" fontId="43" numFmtId="0" xfId="0" applyAlignment="1" applyFont="1">
      <alignment horizontal="center" shrinkToFit="0" wrapText="1"/>
    </xf>
    <xf borderId="0" fillId="0" fontId="43" numFmtId="0" xfId="0" applyAlignment="1" applyFont="1">
      <alignment shrinkToFit="0" vertical="center" wrapText="1"/>
    </xf>
    <xf borderId="0" fillId="0" fontId="43" numFmtId="0" xfId="0" applyFont="1"/>
    <xf borderId="4" fillId="0" fontId="2" numFmtId="3" xfId="0" applyAlignment="1" applyBorder="1" applyFont="1" applyNumberFormat="1">
      <alignment horizontal="center" readingOrder="0" vertical="center"/>
    </xf>
    <xf borderId="4" fillId="3" fontId="2" numFmtId="3" xfId="0" applyAlignment="1" applyBorder="1" applyFont="1" applyNumberFormat="1">
      <alignment horizontal="center" readingOrder="0"/>
    </xf>
    <xf borderId="4" fillId="3" fontId="2" numFmtId="3" xfId="0" applyAlignment="1" applyBorder="1" applyFont="1" applyNumberFormat="1">
      <alignment horizontal="center"/>
    </xf>
    <xf borderId="0" fillId="0" fontId="10" numFmtId="0" xfId="0" applyAlignment="1" applyFont="1">
      <alignment horizontal="left" shrinkToFit="0" wrapText="1"/>
    </xf>
    <xf borderId="20" fillId="0" fontId="34" numFmtId="0" xfId="0" applyAlignment="1" applyBorder="1" applyFont="1">
      <alignment horizontal="left" shrinkToFit="0" vertical="top" wrapText="1"/>
    </xf>
    <xf borderId="4" fillId="0" fontId="44" numFmtId="0" xfId="0" applyAlignment="1" applyBorder="1" applyFont="1">
      <alignment readingOrder="0"/>
    </xf>
    <xf borderId="0" fillId="0" fontId="9" numFmtId="0" xfId="0" applyAlignment="1" applyFont="1">
      <alignment horizontal="left" vertical="top"/>
    </xf>
    <xf borderId="0" fillId="0" fontId="3" numFmtId="0" xfId="0" applyAlignment="1" applyFont="1">
      <alignment readingOrder="0" shrinkToFit="0" wrapText="1"/>
    </xf>
    <xf borderId="0" fillId="0" fontId="2" numFmtId="0" xfId="0" applyAlignment="1" applyFont="1">
      <alignment horizontal="right" shrinkToFit="0" wrapText="1"/>
    </xf>
    <xf borderId="0" fillId="2" fontId="5" numFmtId="0" xfId="0" applyAlignment="1" applyFont="1">
      <alignment horizontal="center" vertical="center"/>
    </xf>
    <xf borderId="1" fillId="2" fontId="5" numFmtId="0" xfId="0" applyAlignment="1" applyBorder="1" applyFont="1">
      <alignment horizontal="center" vertical="center"/>
    </xf>
    <xf borderId="4" fillId="0" fontId="2" numFmtId="168" xfId="0" applyAlignment="1" applyBorder="1" applyFont="1" applyNumberFormat="1">
      <alignment horizontal="center" vertical="center"/>
    </xf>
    <xf borderId="0" fillId="0" fontId="2" numFmtId="0" xfId="0" applyAlignment="1" applyFont="1">
      <alignment horizontal="right" readingOrder="0" vertical="center"/>
    </xf>
    <xf borderId="0" fillId="0" fontId="34" numFmtId="0" xfId="0" applyAlignment="1" applyFont="1">
      <alignment readingOrder="0" shrinkToFit="0" wrapText="1"/>
    </xf>
    <xf borderId="0" fillId="0" fontId="2" numFmtId="0" xfId="0" applyAlignment="1" applyFont="1">
      <alignment horizontal="right" readingOrder="0" shrinkToFit="0" vertical="center" wrapText="1"/>
    </xf>
    <xf borderId="0" fillId="0" fontId="34" numFmtId="0" xfId="0" applyAlignment="1" applyFont="1">
      <alignment shrinkToFit="0" wrapText="1"/>
    </xf>
    <xf borderId="0" fillId="0" fontId="27" numFmtId="0" xfId="0" applyAlignment="1" applyFont="1">
      <alignment readingOrder="0"/>
    </xf>
    <xf borderId="4" fillId="0" fontId="2" numFmtId="0" xfId="0" applyAlignment="1" applyBorder="1" applyFont="1">
      <alignment horizontal="left" readingOrder="0" shrinkToFit="0" vertical="top" wrapText="1"/>
    </xf>
    <xf borderId="0" fillId="0" fontId="18" numFmtId="0" xfId="0" applyAlignment="1" applyFont="1">
      <alignment horizontal="center" readingOrder="0"/>
    </xf>
    <xf borderId="4" fillId="0" fontId="45" numFmtId="0" xfId="0" applyAlignment="1" applyBorder="1" applyFont="1">
      <alignment horizontal="center" shrinkToFit="0" vertical="center" wrapText="1"/>
    </xf>
    <xf borderId="0" fillId="0" fontId="1" numFmtId="0" xfId="0" applyAlignment="1" applyFont="1">
      <alignment horizontal="left" shrinkToFit="0" vertical="top" wrapText="1"/>
    </xf>
    <xf borderId="0" fillId="0" fontId="2" numFmtId="170" xfId="0" applyFont="1" applyNumberFormat="1"/>
    <xf borderId="4" fillId="0" fontId="2" numFmtId="167" xfId="0" applyAlignment="1" applyBorder="1" applyFont="1" applyNumberFormat="1">
      <alignment horizontal="center" readingOrder="0" vertical="center"/>
    </xf>
    <xf borderId="0" fillId="0" fontId="46" numFmtId="0" xfId="0" applyAlignment="1" applyFont="1">
      <alignment horizontal="left" shrinkToFit="0" vertical="top" wrapText="1"/>
    </xf>
    <xf borderId="0" fillId="0" fontId="47" numFmtId="0" xfId="0" applyAlignment="1" applyFont="1">
      <alignment horizontal="left" shrinkToFit="0" vertical="top" wrapText="1"/>
    </xf>
    <xf borderId="0" fillId="0" fontId="47" numFmtId="0" xfId="0" applyAlignment="1" applyFont="1">
      <alignment horizontal="left" vertical="top"/>
    </xf>
    <xf borderId="21" fillId="4" fontId="2" numFmtId="0" xfId="0" applyBorder="1" applyFont="1"/>
    <xf borderId="4" fillId="0" fontId="2" numFmtId="171" xfId="0" applyAlignment="1" applyBorder="1" applyFont="1" applyNumberFormat="1">
      <alignment horizontal="center" vertical="center"/>
    </xf>
    <xf borderId="21" fillId="4" fontId="2" numFmtId="0" xfId="0" applyAlignment="1" applyBorder="1" applyFont="1">
      <alignment horizontal="center" vertical="center"/>
    </xf>
    <xf borderId="4" fillId="0" fontId="2" numFmtId="171" xfId="0" applyAlignment="1" applyBorder="1" applyFont="1" applyNumberFormat="1">
      <alignment horizontal="center" vertical="bottom"/>
    </xf>
    <xf borderId="7" fillId="0" fontId="2" numFmtId="171" xfId="0" applyAlignment="1" applyBorder="1" applyFont="1" applyNumberFormat="1">
      <alignment horizontal="center" shrinkToFit="0" vertical="bottom" wrapText="1"/>
    </xf>
    <xf borderId="0" fillId="0" fontId="27" numFmtId="0" xfId="0" applyAlignment="1" applyFont="1">
      <alignment shrinkToFit="0" vertical="bottom" wrapText="0"/>
    </xf>
    <xf borderId="18" fillId="0" fontId="2" numFmtId="171" xfId="0" applyAlignment="1" applyBorder="1" applyFont="1" applyNumberFormat="1">
      <alignment horizontal="center" vertical="bottom"/>
    </xf>
    <xf borderId="22" fillId="0" fontId="2" numFmtId="171" xfId="0" applyAlignment="1" applyBorder="1" applyFont="1" applyNumberFormat="1">
      <alignment horizontal="center" shrinkToFit="0" vertical="bottom" wrapText="1"/>
    </xf>
    <xf borderId="0" fillId="0" fontId="2" numFmtId="0" xfId="0" applyAlignment="1" applyFont="1">
      <alignment vertical="bottom"/>
    </xf>
    <xf borderId="17" fillId="4" fontId="2" numFmtId="0" xfId="0" applyAlignment="1" applyBorder="1" applyFont="1">
      <alignment vertical="bottom"/>
    </xf>
    <xf borderId="18" fillId="0" fontId="2" numFmtId="171" xfId="0" applyAlignment="1" applyBorder="1" applyFont="1" applyNumberFormat="1">
      <alignment horizontal="center" readingOrder="0" vertical="bottom"/>
    </xf>
    <xf borderId="22" fillId="0" fontId="2" numFmtId="171" xfId="0" applyAlignment="1" applyBorder="1" applyFont="1" applyNumberFormat="1">
      <alignment vertical="bottom"/>
    </xf>
    <xf borderId="4" fillId="0" fontId="2" numFmtId="171" xfId="0" applyAlignment="1" applyBorder="1" applyFont="1" applyNumberFormat="1">
      <alignment horizontal="center" shrinkToFit="0" vertical="center" wrapText="1"/>
    </xf>
    <xf borderId="0" fillId="0" fontId="2" numFmtId="172" xfId="0" applyAlignment="1" applyFont="1" applyNumberFormat="1">
      <alignment shrinkToFit="0" vertical="top" wrapText="1"/>
    </xf>
    <xf borderId="4" fillId="0" fontId="2" numFmtId="169" xfId="0" applyAlignment="1" applyBorder="1" applyFont="1" applyNumberFormat="1">
      <alignment horizontal="center" readingOrder="0" vertical="center"/>
    </xf>
    <xf borderId="4" fillId="0" fontId="2" numFmtId="171" xfId="0" applyAlignment="1" applyBorder="1" applyFont="1" applyNumberFormat="1">
      <alignment horizontal="center" readingOrder="0" vertical="center"/>
    </xf>
    <xf borderId="4" fillId="5" fontId="2" numFmtId="171" xfId="0" applyAlignment="1" applyBorder="1" applyFont="1" applyNumberFormat="1">
      <alignment horizontal="center" vertical="center"/>
    </xf>
    <xf borderId="4" fillId="6" fontId="2" numFmtId="171" xfId="0" applyAlignment="1" applyBorder="1" applyFill="1" applyFont="1" applyNumberFormat="1">
      <alignment horizontal="center" vertical="center"/>
    </xf>
    <xf borderId="7" fillId="0" fontId="2" numFmtId="171" xfId="0" applyAlignment="1" applyBorder="1" applyFont="1" applyNumberFormat="1">
      <alignment horizontal="center"/>
    </xf>
    <xf borderId="18" fillId="0" fontId="2" numFmtId="171" xfId="0" applyAlignment="1" applyBorder="1" applyFont="1" applyNumberFormat="1">
      <alignment horizontal="center"/>
    </xf>
    <xf borderId="22" fillId="0" fontId="2" numFmtId="171" xfId="0" applyAlignment="1" applyBorder="1" applyFont="1" applyNumberFormat="1">
      <alignment horizontal="center"/>
    </xf>
    <xf borderId="0" fillId="0" fontId="9" numFmtId="0" xfId="0" applyAlignment="1" applyFont="1">
      <alignment horizontal="center" shrinkToFit="0" vertical="top" wrapText="1"/>
    </xf>
    <xf borderId="21" fillId="4" fontId="1" numFmtId="0" xfId="0" applyBorder="1" applyFont="1"/>
    <xf borderId="0" fillId="0" fontId="48" numFmtId="0" xfId="0" applyAlignment="1" applyFont="1">
      <alignment horizontal="left" readingOrder="0"/>
    </xf>
    <xf borderId="0" fillId="0" fontId="5" numFmtId="0" xfId="0" applyAlignment="1" applyFont="1">
      <alignment horizontal="center"/>
    </xf>
    <xf borderId="0" fillId="0" fontId="30" numFmtId="0" xfId="0" applyAlignment="1" applyFont="1">
      <alignment shrinkToFit="0" vertical="top" wrapText="1"/>
    </xf>
    <xf borderId="0" fillId="0" fontId="28" numFmtId="0" xfId="0" applyAlignment="1" applyFont="1">
      <alignment vertical="top"/>
    </xf>
    <xf borderId="0" fillId="0" fontId="49" numFmtId="0" xfId="0" applyAlignment="1" applyFont="1">
      <alignment horizontal="center" vertical="center"/>
    </xf>
    <xf borderId="4" fillId="0" fontId="2" numFmtId="0" xfId="0" applyAlignment="1" applyBorder="1" applyFont="1">
      <alignment readingOrder="0"/>
    </xf>
    <xf borderId="17" fillId="0" fontId="5" numFmtId="0" xfId="0" applyAlignment="1" applyBorder="1" applyFont="1">
      <alignment horizontal="center" vertical="center"/>
    </xf>
    <xf borderId="23" fillId="0" fontId="50" numFmtId="0" xfId="0" applyAlignment="1" applyBorder="1" applyFont="1">
      <alignment horizontal="center" shrinkToFit="0" vertical="center" wrapText="1"/>
    </xf>
    <xf borderId="4" fillId="0" fontId="1" numFmtId="0" xfId="0" applyAlignment="1" applyBorder="1" applyFont="1">
      <alignment horizontal="left"/>
    </xf>
    <xf borderId="24" fillId="0" fontId="6" numFmtId="0" xfId="0" applyBorder="1" applyFont="1"/>
    <xf borderId="4" fillId="0" fontId="2" numFmtId="0" xfId="0" applyAlignment="1" applyBorder="1" applyFont="1">
      <alignment horizontal="left" shrinkToFit="0" wrapText="1"/>
    </xf>
    <xf borderId="18" fillId="0" fontId="6" numFmtId="0" xfId="0" applyBorder="1" applyFont="1"/>
    <xf borderId="4" fillId="4" fontId="1" numFmtId="0" xfId="0" applyAlignment="1" applyBorder="1" applyFont="1">
      <alignment horizontal="right" shrinkToFit="0" wrapText="1"/>
    </xf>
    <xf borderId="4" fillId="4" fontId="1" numFmtId="171" xfId="0" applyAlignment="1" applyBorder="1" applyFont="1" applyNumberFormat="1">
      <alignment horizontal="center" readingOrder="0" vertical="center"/>
    </xf>
    <xf borderId="23" fillId="0" fontId="1" numFmtId="0" xfId="0" applyAlignment="1" applyBorder="1" applyFont="1">
      <alignment horizontal="center" vertical="center"/>
    </xf>
    <xf borderId="4" fillId="4" fontId="1" numFmtId="0" xfId="0" applyAlignment="1" applyBorder="1" applyFont="1">
      <alignment horizontal="right"/>
    </xf>
    <xf borderId="0" fillId="0" fontId="51" numFmtId="0" xfId="0" applyAlignment="1" applyFont="1">
      <alignment horizontal="left" vertical="top"/>
    </xf>
    <xf borderId="23" fillId="0" fontId="2" numFmtId="0" xfId="0" applyAlignment="1" applyBorder="1" applyFont="1">
      <alignment horizontal="center" shrinkToFit="0" vertical="center" wrapText="1"/>
    </xf>
    <xf borderId="4" fillId="0" fontId="2" numFmtId="0" xfId="0" applyAlignment="1" applyBorder="1" applyFont="1">
      <alignment horizontal="left" shrinkToFit="0" vertical="center" wrapText="1"/>
    </xf>
    <xf borderId="4" fillId="0" fontId="2" numFmtId="1" xfId="0" applyAlignment="1" applyBorder="1" applyFont="1" applyNumberFormat="1">
      <alignment horizontal="center" readingOrder="0" vertical="center"/>
    </xf>
    <xf borderId="4" fillId="0" fontId="2" numFmtId="3" xfId="0" applyAlignment="1" applyBorder="1" applyFont="1" applyNumberFormat="1">
      <alignment horizontal="center" readingOrder="0" shrinkToFit="0" vertical="center" wrapText="1"/>
    </xf>
    <xf borderId="4" fillId="0" fontId="2" numFmtId="0" xfId="0" applyAlignment="1" applyBorder="1" applyFont="1">
      <alignment shrinkToFit="0" vertical="center" wrapText="1"/>
    </xf>
    <xf borderId="4" fillId="0" fontId="2" numFmtId="9" xfId="0" applyAlignment="1" applyBorder="1" applyFont="1" applyNumberFormat="1">
      <alignment horizontal="center" readingOrder="0" vertical="center"/>
    </xf>
    <xf borderId="4" fillId="0" fontId="2" numFmtId="172" xfId="0" applyAlignment="1" applyBorder="1" applyFont="1" applyNumberFormat="1">
      <alignment horizontal="center" readingOrder="0" vertical="center"/>
    </xf>
    <xf borderId="4" fillId="0" fontId="2" numFmtId="0" xfId="0" applyAlignment="1" applyBorder="1" applyFont="1">
      <alignment vertical="center"/>
    </xf>
    <xf borderId="0" fillId="0" fontId="2" numFmtId="0" xfId="0" applyAlignment="1" applyFont="1">
      <alignment vertical="center"/>
    </xf>
    <xf borderId="0" fillId="0" fontId="2" numFmtId="9" xfId="0" applyAlignment="1" applyFont="1" applyNumberFormat="1">
      <alignment horizontal="center" vertical="center"/>
    </xf>
    <xf borderId="0" fillId="0" fontId="2" numFmtId="172" xfId="0" applyAlignment="1" applyFont="1" applyNumberFormat="1">
      <alignment horizontal="center" vertical="center"/>
    </xf>
    <xf borderId="0" fillId="0" fontId="50" numFmtId="0" xfId="0" applyAlignment="1" applyFont="1">
      <alignment horizontal="right"/>
    </xf>
    <xf borderId="4" fillId="0" fontId="52" numFmtId="0" xfId="0" applyAlignment="1" applyBorder="1" applyFont="1">
      <alignment horizontal="center" readingOrder="0"/>
    </xf>
    <xf borderId="4" fillId="0" fontId="2" numFmtId="3" xfId="0" applyAlignment="1" applyBorder="1" applyFont="1" applyNumberFormat="1">
      <alignment horizontal="center" shrinkToFit="0" vertical="center" wrapText="1"/>
    </xf>
    <xf borderId="4" fillId="0" fontId="3" numFmtId="0" xfId="0" applyBorder="1" applyFont="1"/>
    <xf borderId="4" fillId="0" fontId="52" numFmtId="0" xfId="0" applyAlignment="1" applyBorder="1" applyFont="1">
      <alignment horizontal="center"/>
    </xf>
    <xf borderId="0" fillId="0" fontId="53" numFmtId="0" xfId="0" applyFont="1"/>
    <xf borderId="4" fillId="0" fontId="2" numFmtId="170" xfId="0" applyAlignment="1" applyBorder="1" applyFont="1" applyNumberFormat="1">
      <alignment horizontal="center" readingOrder="0" vertical="center"/>
    </xf>
    <xf borderId="4" fillId="0" fontId="2" numFmtId="170" xfId="0" applyAlignment="1" applyBorder="1" applyFont="1" applyNumberFormat="1">
      <alignment horizontal="center" readingOrder="0"/>
    </xf>
    <xf borderId="4" fillId="0" fontId="2" numFmtId="169" xfId="0" applyAlignment="1" applyBorder="1" applyFont="1" applyNumberFormat="1">
      <alignment horizontal="center"/>
    </xf>
    <xf borderId="6" fillId="4" fontId="2" numFmtId="0" xfId="0" applyAlignment="1" applyBorder="1" applyFont="1">
      <alignment vertical="bottom"/>
    </xf>
    <xf borderId="7" fillId="4" fontId="54" numFmtId="0" xfId="0" applyAlignment="1" applyBorder="1" applyFont="1">
      <alignment horizontal="center" vertical="bottom"/>
    </xf>
    <xf borderId="25" fillId="0" fontId="55" numFmtId="0" xfId="0" applyAlignment="1" applyBorder="1" applyFont="1">
      <alignment vertical="bottom"/>
    </xf>
    <xf borderId="22" fillId="0" fontId="6" numFmtId="0" xfId="0" applyBorder="1" applyFont="1"/>
    <xf borderId="22" fillId="0" fontId="56" numFmtId="0" xfId="0" applyAlignment="1" applyBorder="1" applyFont="1">
      <alignment horizontal="center" vertical="bottom"/>
    </xf>
    <xf borderId="22" fillId="0" fontId="1" numFmtId="0" xfId="0" applyAlignment="1" applyBorder="1" applyFont="1">
      <alignment vertical="bottom"/>
    </xf>
    <xf borderId="6" fillId="0" fontId="2" numFmtId="0" xfId="0" applyAlignment="1" applyBorder="1" applyFont="1">
      <alignment horizontal="center" vertical="center"/>
    </xf>
    <xf borderId="6" fillId="0" fontId="2" numFmtId="0" xfId="0" applyAlignment="1" applyBorder="1" applyFont="1">
      <alignment horizontal="center" shrinkToFit="0" vertical="center" wrapText="1"/>
    </xf>
    <xf borderId="6" fillId="0" fontId="2" numFmtId="0" xfId="0" applyAlignment="1" applyBorder="1" applyFont="1">
      <alignment horizontal="center"/>
    </xf>
    <xf borderId="0" fillId="0" fontId="57" numFmtId="0" xfId="0" applyAlignment="1" applyFont="1">
      <alignment horizontal="left" shrinkToFit="0" vertical="center" wrapText="1"/>
    </xf>
    <xf borderId="0" fillId="0" fontId="57" numFmtId="0" xfId="0" applyAlignment="1" applyFont="1">
      <alignment horizontal="left" shrinkToFit="0" vertical="top" wrapText="1"/>
    </xf>
    <xf borderId="4" fillId="0" fontId="2" numFmtId="0" xfId="0" applyAlignment="1" applyBorder="1" applyFont="1">
      <alignment horizontal="left" vertical="center"/>
    </xf>
    <xf borderId="23" fillId="0" fontId="2" numFmtId="0" xfId="0" applyAlignment="1" applyBorder="1" applyFont="1">
      <alignment horizontal="left" shrinkToFit="0" vertical="center" wrapText="1"/>
    </xf>
    <xf borderId="20" fillId="0" fontId="50" numFmtId="0" xfId="0" applyAlignment="1" applyBorder="1" applyFont="1">
      <alignment horizontal="right" vertical="center"/>
    </xf>
    <xf borderId="0" fillId="0" fontId="5" numFmtId="0" xfId="0" applyAlignment="1" applyFont="1">
      <alignment vertical="center"/>
    </xf>
    <xf borderId="4" fillId="0" fontId="2" numFmtId="2" xfId="0" applyAlignment="1" applyBorder="1" applyFont="1" applyNumberFormat="1">
      <alignment horizontal="center" readingOrder="0" vertical="center"/>
    </xf>
    <xf borderId="0" fillId="0" fontId="2" numFmtId="0" xfId="0" applyAlignment="1" applyFont="1">
      <alignment horizontal="center" shrinkToFit="0" vertical="top" wrapText="1"/>
    </xf>
    <xf borderId="0" fillId="0" fontId="1" numFmtId="49" xfId="0" applyAlignment="1" applyFont="1" applyNumberFormat="1">
      <alignment horizontal="right"/>
    </xf>
    <xf borderId="4" fillId="0" fontId="1" numFmtId="1" xfId="0" applyAlignment="1" applyBorder="1" applyFont="1" applyNumberFormat="1">
      <alignment horizontal="center" vertical="center"/>
    </xf>
    <xf borderId="0" fillId="0" fontId="2" numFmtId="49" xfId="0" applyAlignment="1" applyFont="1" applyNumberFormat="1">
      <alignment horizontal="right"/>
    </xf>
    <xf borderId="0" fillId="0" fontId="2" numFmtId="49" xfId="0" applyFont="1" applyNumberFormat="1"/>
    <xf borderId="23" fillId="0" fontId="1" numFmtId="0" xfId="0" applyAlignment="1" applyBorder="1" applyFont="1">
      <alignment horizontal="center" shrinkToFit="0" vertical="center" wrapText="1"/>
    </xf>
    <xf borderId="4" fillId="0" fontId="28" numFmtId="0" xfId="0" applyAlignment="1" applyBorder="1" applyFont="1">
      <alignment shrinkToFit="0" vertical="center" wrapText="1"/>
    </xf>
    <xf borderId="4" fillId="0" fontId="30" numFmtId="49" xfId="0" applyAlignment="1" applyBorder="1" applyFont="1" applyNumberFormat="1">
      <alignment horizontal="center" readingOrder="0" shrinkToFit="0" vertical="center" wrapText="1"/>
    </xf>
    <xf borderId="4" fillId="0" fontId="30" numFmtId="0" xfId="0" applyAlignment="1" applyBorder="1" applyFont="1">
      <alignment horizontal="center" shrinkToFit="0" vertical="center" wrapText="1"/>
    </xf>
    <xf borderId="4" fillId="0" fontId="38" numFmtId="0" xfId="0" applyAlignment="1" applyBorder="1" applyFont="1">
      <alignment shrinkToFit="0" vertical="center" wrapText="1"/>
    </xf>
    <xf borderId="0" fillId="0" fontId="2" numFmtId="2" xfId="0" applyFont="1" applyNumberFormat="1"/>
    <xf borderId="1" fillId="3" fontId="58" numFmtId="0" xfId="0" applyAlignment="1" applyBorder="1" applyFont="1">
      <alignment horizontal="center" shrinkToFit="0" vertical="center" wrapText="1"/>
    </xf>
    <xf borderId="0" fillId="0" fontId="30" numFmtId="0" xfId="0" applyAlignment="1" applyFont="1">
      <alignment horizontal="left" shrinkToFit="0" vertical="center" wrapText="1"/>
    </xf>
    <xf borderId="6" fillId="0" fontId="59" numFmtId="0" xfId="0" applyAlignment="1" applyBorder="1" applyFont="1">
      <alignment horizontal="center" shrinkToFit="0" wrapText="1"/>
    </xf>
    <xf borderId="0" fillId="0" fontId="2" numFmtId="0" xfId="0" applyAlignment="1" applyFont="1">
      <alignment shrinkToFit="0" vertical="center" wrapText="1"/>
    </xf>
    <xf borderId="0" fillId="0" fontId="1" numFmtId="0" xfId="0" applyAlignment="1" applyFont="1">
      <alignment horizontal="left" shrinkToFit="0" vertical="center" wrapText="1"/>
    </xf>
    <xf borderId="0" fillId="0" fontId="60" numFmtId="0" xfId="0" applyAlignment="1" applyFont="1">
      <alignment shrinkToFit="0" vertical="center" wrapText="1"/>
    </xf>
    <xf borderId="0" fillId="0" fontId="55" numFmtId="0" xfId="0" applyFont="1"/>
    <xf borderId="7" fillId="0" fontId="2" numFmtId="0" xfId="0" applyBorder="1"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352425</xdr:colOff>
      <xdr:row>202</xdr:row>
      <xdr:rowOff>76200</xdr:rowOff>
    </xdr:from>
    <xdr:ext cx="400050" cy="704850"/>
    <xdr:sp>
      <xdr:nvSpPr>
        <xdr:cNvPr id="3" name="Shape 3"/>
        <xdr:cNvSpPr/>
      </xdr:nvSpPr>
      <xdr:spPr>
        <a:xfrm>
          <a:off x="5165025" y="3446625"/>
          <a:ext cx="361950" cy="666750"/>
        </a:xfrm>
        <a:prstGeom prst="rightBrace">
          <a:avLst>
            <a:gd fmla="val 8333" name="adj1"/>
            <a:gd fmla="val 50000" name="adj2"/>
          </a:avLst>
        </a:prstGeom>
        <a:noFill/>
        <a:ln cap="flat" cmpd="sng" w="381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ollegesurvey@collegeboard.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opa@berkeley.edu" TargetMode="External"/><Relationship Id="rId2" Type="http://schemas.openxmlformats.org/officeDocument/2006/relationships/hyperlink" Target="https://opa.berkeley.edu/campus-data/common-data-set" TargetMode="External"/><Relationship Id="rId3" Type="http://schemas.openxmlformats.org/officeDocument/2006/relationships/hyperlink" Target="http://www.berkeley.edu/" TargetMode="External"/><Relationship Id="rId4" Type="http://schemas.openxmlformats.org/officeDocument/2006/relationships/hyperlink" Target="mailto:tour@berkeley.edu" TargetMode="External"/><Relationship Id="rId5" Type="http://schemas.openxmlformats.org/officeDocument/2006/relationships/hyperlink" Target="mailto:gradadm@berkeley.edu"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4.56"/>
    <col customWidth="1" min="2" max="26" width="11.0"/>
  </cols>
  <sheetData>
    <row r="1">
      <c r="A1" s="1" t="s">
        <v>0</v>
      </c>
    </row>
    <row r="2">
      <c r="A2" s="1"/>
    </row>
    <row r="3">
      <c r="A3" s="2" t="s">
        <v>1</v>
      </c>
    </row>
    <row r="4" ht="6.75" customHeight="1"/>
    <row r="5">
      <c r="A5" s="3" t="s">
        <v>2</v>
      </c>
    </row>
    <row r="6" ht="4.5" customHeight="1"/>
    <row r="7">
      <c r="A7" s="2" t="s">
        <v>3</v>
      </c>
    </row>
    <row r="8" ht="6.0" customHeight="1"/>
    <row r="9">
      <c r="A9" s="4" t="s">
        <v>4</v>
      </c>
    </row>
    <row r="10" ht="6.75" customHeight="1"/>
    <row r="11">
      <c r="A11" s="5" t="s">
        <v>5</v>
      </c>
    </row>
    <row r="12" ht="6.0" customHeight="1"/>
    <row r="13">
      <c r="A13" s="6"/>
    </row>
    <row r="14">
      <c r="A14" s="3" t="s">
        <v>6</v>
      </c>
    </row>
    <row r="15">
      <c r="A15" s="7" t="s">
        <v>7</v>
      </c>
    </row>
    <row r="16"/>
    <row r="17"/>
    <row r="18"/>
    <row r="19"/>
    <row r="20"/>
  </sheetData>
  <hyperlinks>
    <hyperlink r:id="rId1" ref="A15"/>
  </hyperlinks>
  <printOptions/>
  <pageMargins bottom="0.75" footer="0.0" header="0.0" left="0.25" right="0.25" top="0.75"/>
  <pageSetup orientation="landscape"/>
  <headerFooter>
    <oddHeader>&amp;L  &amp;C  &amp;R   </oddHeader>
    <oddFooter>&amp;L   &amp;C   &amp;R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0"/>
    <col customWidth="1" min="2" max="2" width="17.11"/>
    <col customWidth="1" min="3" max="3" width="17.44"/>
    <col customWidth="1" min="4" max="4" width="51.0"/>
    <col customWidth="1" min="5" max="26" width="11.0"/>
  </cols>
  <sheetData>
    <row r="1">
      <c r="A1" s="8" t="s">
        <v>8</v>
      </c>
      <c r="B1" s="9"/>
      <c r="C1" s="9"/>
      <c r="D1" s="9"/>
      <c r="E1" s="10"/>
    </row>
    <row r="2" ht="6.75" customHeight="1"/>
    <row r="3">
      <c r="A3" s="11" t="s">
        <v>9</v>
      </c>
      <c r="B3" s="3"/>
    </row>
    <row r="4" ht="6.75" customHeight="1"/>
    <row r="5">
      <c r="B5" s="12" t="s">
        <v>10</v>
      </c>
      <c r="D5" s="13" t="s">
        <v>11</v>
      </c>
    </row>
    <row r="6">
      <c r="B6" s="12" t="s">
        <v>12</v>
      </c>
      <c r="C6" s="14"/>
      <c r="D6" s="13" t="s">
        <v>13</v>
      </c>
    </row>
    <row r="7">
      <c r="B7" s="12" t="s">
        <v>14</v>
      </c>
      <c r="D7" s="13" t="s">
        <v>15</v>
      </c>
    </row>
    <row r="8">
      <c r="B8" s="12" t="s">
        <v>16</v>
      </c>
      <c r="D8" s="13" t="s">
        <v>17</v>
      </c>
    </row>
    <row r="9">
      <c r="B9" s="12" t="s">
        <v>18</v>
      </c>
      <c r="D9" s="13" t="s">
        <v>19</v>
      </c>
    </row>
    <row r="10">
      <c r="B10" s="12" t="s">
        <v>20</v>
      </c>
      <c r="D10" s="13" t="s">
        <v>21</v>
      </c>
    </row>
    <row r="11">
      <c r="B11" s="12" t="s">
        <v>22</v>
      </c>
      <c r="D11" s="13" t="s">
        <v>23</v>
      </c>
    </row>
    <row r="12">
      <c r="B12" s="12" t="s">
        <v>24</v>
      </c>
      <c r="D12" s="15" t="s">
        <v>25</v>
      </c>
    </row>
    <row r="13">
      <c r="B13" s="12" t="s">
        <v>26</v>
      </c>
      <c r="D13" s="13" t="s">
        <v>27</v>
      </c>
    </row>
    <row r="14">
      <c r="B14" s="16" t="s">
        <v>28</v>
      </c>
      <c r="C14" s="14"/>
      <c r="D14" s="17"/>
    </row>
    <row r="15">
      <c r="B15" s="16" t="s">
        <v>29</v>
      </c>
      <c r="C15" s="14"/>
      <c r="D15" s="18"/>
    </row>
    <row r="16">
      <c r="B16" s="16" t="s">
        <v>30</v>
      </c>
      <c r="C16" s="14"/>
      <c r="D16" s="19" t="s">
        <v>31</v>
      </c>
    </row>
    <row r="17">
      <c r="B17" s="12"/>
      <c r="D17" s="20"/>
    </row>
    <row r="18"/>
    <row r="19">
      <c r="B19" s="12" t="s">
        <v>32</v>
      </c>
    </row>
    <row r="20">
      <c r="B20" s="12"/>
      <c r="D20" s="21" t="s">
        <v>33</v>
      </c>
    </row>
    <row r="21">
      <c r="B21" s="4" t="s">
        <v>34</v>
      </c>
      <c r="D21" s="22"/>
    </row>
    <row r="22">
      <c r="D22" s="19" t="s">
        <v>35</v>
      </c>
    </row>
    <row r="24">
      <c r="A24" s="11" t="s">
        <v>36</v>
      </c>
    </row>
    <row r="25" ht="6.75" customHeight="1"/>
    <row r="26" ht="15.75" customHeight="1">
      <c r="A26" s="2" t="s">
        <v>37</v>
      </c>
      <c r="E26" s="23"/>
    </row>
    <row r="27">
      <c r="E27" s="23"/>
    </row>
    <row r="28" ht="31.5" customHeight="1">
      <c r="E28" s="23"/>
    </row>
    <row r="29" ht="6.75" customHeight="1">
      <c r="E29" s="23"/>
    </row>
    <row r="30" ht="7.5" customHeight="1">
      <c r="B30" s="23"/>
      <c r="C30" s="23"/>
      <c r="D30" s="23"/>
      <c r="E30" s="23"/>
    </row>
    <row r="31" ht="99.75" customHeight="1">
      <c r="B31" s="23"/>
      <c r="C31" s="24" t="s">
        <v>38</v>
      </c>
      <c r="D31" s="25" t="s">
        <v>39</v>
      </c>
    </row>
    <row r="32">
      <c r="A32" s="11" t="s">
        <v>40</v>
      </c>
      <c r="B32" s="3"/>
    </row>
    <row r="33">
      <c r="A33" s="26" t="s">
        <v>41</v>
      </c>
    </row>
    <row r="34">
      <c r="B34" s="4" t="s">
        <v>42</v>
      </c>
      <c r="C34" s="27"/>
      <c r="D34" s="13" t="s">
        <v>43</v>
      </c>
    </row>
    <row r="35">
      <c r="B35" s="4" t="s">
        <v>44</v>
      </c>
      <c r="C35" s="27"/>
      <c r="D35" s="13" t="s">
        <v>45</v>
      </c>
    </row>
    <row r="36">
      <c r="B36" s="4" t="s">
        <v>20</v>
      </c>
      <c r="C36" s="27"/>
      <c r="D36" s="13" t="s">
        <v>21</v>
      </c>
    </row>
    <row r="37">
      <c r="B37" s="4" t="s">
        <v>22</v>
      </c>
      <c r="C37" s="27"/>
      <c r="D37" s="13" t="s">
        <v>23</v>
      </c>
    </row>
    <row r="38">
      <c r="B38" s="4" t="s">
        <v>24</v>
      </c>
      <c r="C38" s="27"/>
      <c r="D38" s="15">
        <v>94720.0</v>
      </c>
    </row>
    <row r="39">
      <c r="B39" s="4" t="s">
        <v>26</v>
      </c>
      <c r="C39" s="27"/>
      <c r="D39" s="13" t="s">
        <v>27</v>
      </c>
    </row>
    <row r="40">
      <c r="B40" s="4" t="s">
        <v>46</v>
      </c>
      <c r="C40" s="27"/>
      <c r="D40" s="17">
        <v>5.106426E9</v>
      </c>
    </row>
    <row r="41">
      <c r="B41" s="4" t="s">
        <v>47</v>
      </c>
      <c r="C41" s="27"/>
      <c r="D41" s="19" t="s">
        <v>48</v>
      </c>
    </row>
    <row r="42">
      <c r="B42" s="4" t="s">
        <v>49</v>
      </c>
      <c r="C42" s="27"/>
      <c r="D42" s="19" t="s">
        <v>50</v>
      </c>
    </row>
    <row r="43">
      <c r="D43" s="28"/>
    </row>
    <row r="44">
      <c r="A44" s="26" t="s">
        <v>51</v>
      </c>
      <c r="D44" s="28"/>
    </row>
    <row r="45">
      <c r="B45" s="4" t="s">
        <v>52</v>
      </c>
      <c r="D45" s="29" t="s">
        <v>53</v>
      </c>
    </row>
    <row r="46">
      <c r="B46" s="4" t="s">
        <v>20</v>
      </c>
      <c r="D46" s="29" t="s">
        <v>21</v>
      </c>
    </row>
    <row r="47">
      <c r="B47" s="4" t="s">
        <v>22</v>
      </c>
      <c r="D47" s="29" t="s">
        <v>23</v>
      </c>
    </row>
    <row r="48">
      <c r="B48" s="4" t="s">
        <v>24</v>
      </c>
      <c r="D48" s="30">
        <v>94720.0</v>
      </c>
    </row>
    <row r="49">
      <c r="B49" s="4" t="s">
        <v>26</v>
      </c>
      <c r="D49" s="29" t="s">
        <v>27</v>
      </c>
    </row>
    <row r="50">
      <c r="B50" s="4" t="s">
        <v>54</v>
      </c>
      <c r="D50" s="31">
        <v>5.106423175E9</v>
      </c>
    </row>
    <row r="51">
      <c r="B51" s="4" t="s">
        <v>55</v>
      </c>
      <c r="D51" s="31"/>
    </row>
    <row r="52">
      <c r="B52" s="4" t="s">
        <v>56</v>
      </c>
      <c r="D52" s="32" t="s">
        <v>57</v>
      </c>
    </row>
    <row r="53">
      <c r="B53" s="4" t="s">
        <v>58</v>
      </c>
      <c r="D53" s="33" t="s">
        <v>59</v>
      </c>
      <c r="E53" s="34" t="s">
        <v>60</v>
      </c>
    </row>
    <row r="54">
      <c r="D54" s="35" t="s">
        <v>61</v>
      </c>
      <c r="E54" s="34" t="s">
        <v>62</v>
      </c>
    </row>
    <row r="55">
      <c r="B55" s="12" t="s">
        <v>63</v>
      </c>
    </row>
    <row r="56">
      <c r="B56" s="12"/>
      <c r="D56" s="32" t="s">
        <v>64</v>
      </c>
    </row>
    <row r="57">
      <c r="B57" s="12"/>
      <c r="D57" s="7"/>
    </row>
    <row r="58">
      <c r="B58" s="12"/>
      <c r="D58" s="7"/>
    </row>
    <row r="59">
      <c r="B59" s="12"/>
      <c r="D59" s="36"/>
    </row>
    <row r="60">
      <c r="B60" s="4" t="s">
        <v>65</v>
      </c>
    </row>
    <row r="61" ht="49.5" customHeight="1">
      <c r="D61" s="37"/>
    </row>
    <row r="63">
      <c r="A63" s="11" t="s">
        <v>66</v>
      </c>
    </row>
    <row r="64">
      <c r="D64" s="38" t="s">
        <v>67</v>
      </c>
    </row>
    <row r="66">
      <c r="A66" s="11" t="s">
        <v>68</v>
      </c>
    </row>
    <row r="67">
      <c r="D67" s="39" t="s">
        <v>69</v>
      </c>
    </row>
    <row r="69">
      <c r="A69" s="11" t="s">
        <v>70</v>
      </c>
    </row>
    <row r="70">
      <c r="D70" s="39" t="s">
        <v>71</v>
      </c>
    </row>
    <row r="72" ht="15.75" customHeight="1">
      <c r="A72" s="26" t="s">
        <v>72</v>
      </c>
      <c r="D72" s="23"/>
    </row>
    <row r="73" ht="226.5" customHeight="1">
      <c r="D73" s="37"/>
    </row>
    <row r="74" ht="39.0" customHeight="1">
      <c r="D74" s="6"/>
    </row>
    <row r="75">
      <c r="A75" s="11" t="s">
        <v>73</v>
      </c>
    </row>
    <row r="76">
      <c r="A76" s="11"/>
    </row>
    <row r="77">
      <c r="A77" s="11"/>
      <c r="B77" s="40"/>
      <c r="C77" s="41"/>
      <c r="D77" s="41"/>
    </row>
    <row r="78">
      <c r="A78" s="11" t="b">
        <v>0</v>
      </c>
      <c r="B78" s="40" t="s">
        <v>74</v>
      </c>
      <c r="C78" s="42" t="b">
        <v>1</v>
      </c>
      <c r="D78" s="41" t="s">
        <v>75</v>
      </c>
    </row>
    <row r="79">
      <c r="A79" s="11"/>
      <c r="B79" s="40"/>
      <c r="C79" s="41"/>
      <c r="D79" s="41"/>
    </row>
    <row r="80">
      <c r="A80" s="11" t="b">
        <v>0</v>
      </c>
      <c r="B80" s="40" t="s">
        <v>76</v>
      </c>
      <c r="C80" s="42" t="b">
        <v>1</v>
      </c>
      <c r="D80" s="41" t="s">
        <v>77</v>
      </c>
    </row>
    <row r="81">
      <c r="A81" s="11"/>
      <c r="B81" s="40"/>
      <c r="C81" s="41"/>
      <c r="D81" s="41"/>
    </row>
    <row r="82">
      <c r="A82" s="11" t="b">
        <v>0</v>
      </c>
      <c r="B82" s="40" t="s">
        <v>78</v>
      </c>
      <c r="C82" s="42" t="b">
        <v>1</v>
      </c>
      <c r="D82" s="41" t="s">
        <v>79</v>
      </c>
    </row>
    <row r="83">
      <c r="A83" s="11"/>
      <c r="B83" s="40"/>
      <c r="C83" s="41"/>
      <c r="D83" s="41"/>
    </row>
    <row r="84">
      <c r="A84" s="11" t="b">
        <v>0</v>
      </c>
      <c r="B84" s="40" t="s">
        <v>80</v>
      </c>
      <c r="C84" s="42" t="b">
        <v>1</v>
      </c>
      <c r="D84" s="41" t="s">
        <v>81</v>
      </c>
    </row>
    <row r="85">
      <c r="A85" s="11"/>
      <c r="B85" s="40"/>
      <c r="C85" s="41"/>
      <c r="D85" s="41"/>
    </row>
    <row r="86">
      <c r="A86" s="11" t="b">
        <v>0</v>
      </c>
      <c r="B86" s="40" t="s">
        <v>82</v>
      </c>
      <c r="C86" s="11" t="b">
        <v>0</v>
      </c>
      <c r="D86" s="41" t="s">
        <v>83</v>
      </c>
    </row>
    <row r="87">
      <c r="A87" s="11"/>
      <c r="B87" s="40"/>
      <c r="C87" s="41"/>
      <c r="D87" s="41"/>
    </row>
    <row r="88">
      <c r="A88" s="42" t="b">
        <v>1</v>
      </c>
      <c r="B88" s="40" t="s">
        <v>84</v>
      </c>
      <c r="C88" s="41"/>
      <c r="D88" s="41"/>
    </row>
    <row r="89">
      <c r="A89" s="11"/>
    </row>
    <row r="90">
      <c r="A90" s="42" t="b">
        <v>1</v>
      </c>
      <c r="B90" s="40" t="s">
        <v>85</v>
      </c>
      <c r="C90" s="41"/>
      <c r="D90" s="41"/>
    </row>
    <row r="91">
      <c r="A91" s="43" t="s">
        <v>86</v>
      </c>
    </row>
    <row r="92">
      <c r="A92" s="11"/>
      <c r="B92" s="40"/>
      <c r="C92" s="41"/>
      <c r="D92" s="41"/>
    </row>
    <row r="93">
      <c r="A93" s="11"/>
      <c r="B93" s="40"/>
    </row>
    <row r="94">
      <c r="A94" s="11" t="s">
        <v>87</v>
      </c>
    </row>
    <row r="95">
      <c r="A95" s="4" t="s">
        <v>88</v>
      </c>
    </row>
    <row r="96" ht="18.0" customHeight="1">
      <c r="D96" s="32" t="s">
        <v>89</v>
      </c>
    </row>
    <row r="97" ht="18.0" customHeight="1">
      <c r="D97" s="44"/>
    </row>
    <row r="98">
      <c r="A98" s="45" t="s">
        <v>90</v>
      </c>
      <c r="B98" s="9"/>
      <c r="C98" s="9"/>
      <c r="D98" s="9"/>
      <c r="E98" s="10"/>
    </row>
  </sheetData>
  <mergeCells count="16">
    <mergeCell ref="A1:E1"/>
    <mergeCell ref="B5:C5"/>
    <mergeCell ref="B6:C6"/>
    <mergeCell ref="B7:C7"/>
    <mergeCell ref="B8:C8"/>
    <mergeCell ref="B9:C9"/>
    <mergeCell ref="B10:C10"/>
    <mergeCell ref="A26:D29"/>
    <mergeCell ref="A98:E98"/>
    <mergeCell ref="B11:C11"/>
    <mergeCell ref="B12:C12"/>
    <mergeCell ref="B13:C13"/>
    <mergeCell ref="B14:C14"/>
    <mergeCell ref="B15:C15"/>
    <mergeCell ref="B16:C16"/>
    <mergeCell ref="B17:C17"/>
  </mergeCells>
  <dataValidations>
    <dataValidation type="list" allowBlank="1" showErrorMessage="1" sqref="D13 D39 D49">
      <formula1>validations!$C$1:$C$253</formula1>
    </dataValidation>
    <dataValidation type="list" allowBlank="1" showErrorMessage="1" sqref="D64">
      <formula1>validations!$D$1:$D$3</formula1>
    </dataValidation>
    <dataValidation type="list" allowBlank="1" showErrorMessage="1" sqref="D11 D37 D47">
      <formula1>validations!$B$1:$B$63</formula1>
    </dataValidation>
    <dataValidation type="list" allowBlank="1" showErrorMessage="1" sqref="D20">
      <formula1>validations!$A$1:$A$2</formula1>
    </dataValidation>
    <dataValidation type="list" allowBlank="1" showErrorMessage="1" sqref="D70">
      <formula1>validations!$F$1:$F$7</formula1>
    </dataValidation>
    <dataValidation type="list" allowBlank="1" showErrorMessage="1" sqref="D67">
      <formula1>validations!$E$1:$E$3</formula1>
    </dataValidation>
    <dataValidation type="decimal" allowBlank="1" showErrorMessage="1" sqref="D40">
      <formula1>0.0</formula1>
      <formula2>9.999999999E9</formula2>
    </dataValidation>
  </dataValidations>
  <hyperlinks>
    <hyperlink r:id="rId1" ref="D16"/>
    <hyperlink r:id="rId2" ref="D22"/>
    <hyperlink r:id="rId3" ref="D41"/>
    <hyperlink r:id="rId4" ref="D42"/>
    <hyperlink r:id="rId5" ref="D54"/>
  </hyperlinks>
  <printOptions/>
  <pageMargins bottom="0.75" footer="0.0" header="0.0" left="0.7" right="0.7" top="0.75"/>
  <pageSetup orientation="landscape"/>
  <headerFooter>
    <oddHeader>&amp;C  </oddHeader>
    <oddFooter>&amp;C  </oddFooter>
  </headerFooter>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5.44"/>
    <col customWidth="1" min="2" max="3" width="11.44"/>
    <col customWidth="1" min="4" max="4" width="11.0"/>
    <col customWidth="1" min="5" max="5" width="11.89"/>
    <col customWidth="1" min="6" max="6" width="11.44"/>
    <col customWidth="1" min="7" max="7" width="10.11"/>
    <col customWidth="1" min="8" max="26" width="11.0"/>
  </cols>
  <sheetData>
    <row r="1">
      <c r="A1" s="8" t="s">
        <v>91</v>
      </c>
      <c r="B1" s="9"/>
      <c r="C1" s="9"/>
      <c r="D1" s="9"/>
      <c r="E1" s="9"/>
      <c r="F1" s="9"/>
      <c r="G1" s="10"/>
    </row>
    <row r="2" ht="6.0" customHeight="1"/>
    <row r="3">
      <c r="A3" s="11" t="s">
        <v>92</v>
      </c>
    </row>
    <row r="4" ht="108.75" customHeight="1">
      <c r="A4" s="46" t="s">
        <v>93</v>
      </c>
      <c r="H4" s="12"/>
      <c r="I4" s="12"/>
      <c r="J4" s="12"/>
      <c r="K4" s="12"/>
      <c r="L4" s="12"/>
      <c r="M4" s="12"/>
      <c r="N4" s="12"/>
      <c r="O4" s="12"/>
      <c r="P4" s="12"/>
      <c r="Q4" s="12"/>
      <c r="R4" s="12"/>
      <c r="S4" s="12"/>
      <c r="T4" s="12"/>
      <c r="U4" s="12"/>
      <c r="V4" s="12"/>
      <c r="W4" s="12"/>
      <c r="X4" s="12"/>
      <c r="Y4" s="12"/>
      <c r="Z4" s="12"/>
    </row>
    <row r="5">
      <c r="A5" s="47" t="s">
        <v>94</v>
      </c>
      <c r="H5" s="12"/>
      <c r="I5" s="12"/>
      <c r="J5" s="12"/>
      <c r="K5" s="12"/>
      <c r="L5" s="12"/>
      <c r="M5" s="12"/>
      <c r="N5" s="12"/>
      <c r="O5" s="12"/>
      <c r="P5" s="12"/>
      <c r="Q5" s="12"/>
      <c r="R5" s="12"/>
      <c r="S5" s="12"/>
      <c r="T5" s="12"/>
      <c r="U5" s="12"/>
      <c r="V5" s="12"/>
      <c r="W5" s="12"/>
      <c r="X5" s="12"/>
      <c r="Y5" s="12"/>
      <c r="Z5" s="12"/>
    </row>
    <row r="6">
      <c r="A6" s="48"/>
    </row>
    <row r="7">
      <c r="A7" s="49"/>
      <c r="B7" s="50" t="s">
        <v>95</v>
      </c>
      <c r="C7" s="51"/>
      <c r="D7" s="50" t="s">
        <v>96</v>
      </c>
      <c r="E7" s="51"/>
      <c r="F7" s="50" t="s">
        <v>97</v>
      </c>
      <c r="G7" s="51"/>
    </row>
    <row r="8">
      <c r="A8" s="52"/>
      <c r="B8" s="53" t="s">
        <v>98</v>
      </c>
      <c r="C8" s="53" t="s">
        <v>99</v>
      </c>
      <c r="D8" s="53" t="s">
        <v>98</v>
      </c>
      <c r="E8" s="53" t="s">
        <v>99</v>
      </c>
      <c r="F8" s="53" t="s">
        <v>98</v>
      </c>
      <c r="G8" s="53" t="s">
        <v>99</v>
      </c>
      <c r="H8" s="6"/>
      <c r="I8" s="6"/>
      <c r="J8" s="6"/>
      <c r="K8" s="6"/>
      <c r="L8" s="6"/>
      <c r="M8" s="6"/>
      <c r="N8" s="6"/>
      <c r="O8" s="6"/>
      <c r="P8" s="6"/>
      <c r="Q8" s="6"/>
      <c r="R8" s="6"/>
      <c r="S8" s="6"/>
      <c r="T8" s="6"/>
      <c r="U8" s="6"/>
      <c r="V8" s="6"/>
      <c r="W8" s="6"/>
      <c r="X8" s="6"/>
      <c r="Y8" s="6"/>
      <c r="Z8" s="6"/>
    </row>
    <row r="9">
      <c r="A9" s="54"/>
      <c r="B9" s="55" t="s">
        <v>100</v>
      </c>
      <c r="C9" s="56"/>
      <c r="D9" s="56"/>
      <c r="E9" s="56"/>
      <c r="F9" s="56"/>
      <c r="G9" s="51"/>
    </row>
    <row r="10" ht="45.75" customHeight="1">
      <c r="A10" s="57" t="s">
        <v>101</v>
      </c>
      <c r="B10" s="58">
        <v>2674.0</v>
      </c>
      <c r="C10" s="58">
        <v>10.0</v>
      </c>
      <c r="D10" s="58">
        <v>3824.0</v>
      </c>
      <c r="E10" s="58">
        <v>27.0</v>
      </c>
      <c r="F10" s="58">
        <v>106.0</v>
      </c>
      <c r="G10" s="58">
        <v>0.0</v>
      </c>
    </row>
    <row r="11" ht="45.75" customHeight="1">
      <c r="A11" s="57" t="s">
        <v>102</v>
      </c>
      <c r="B11" s="58">
        <v>129.0</v>
      </c>
      <c r="C11" s="58">
        <v>5.0</v>
      </c>
      <c r="D11" s="58">
        <v>174.0</v>
      </c>
      <c r="E11" s="58">
        <v>11.0</v>
      </c>
      <c r="F11" s="58">
        <v>7.0</v>
      </c>
      <c r="G11" s="58">
        <v>0.0</v>
      </c>
    </row>
    <row r="12" ht="45.75" customHeight="1">
      <c r="A12" s="57" t="s">
        <v>103</v>
      </c>
      <c r="B12" s="58">
        <v>10844.0</v>
      </c>
      <c r="C12" s="58">
        <v>675.0</v>
      </c>
      <c r="D12" s="58">
        <v>13483.0</v>
      </c>
      <c r="E12" s="58">
        <v>781.0</v>
      </c>
      <c r="F12" s="58">
        <v>302.0</v>
      </c>
      <c r="G12" s="58">
        <v>21.0</v>
      </c>
    </row>
    <row r="13" ht="45.75" customHeight="1">
      <c r="A13" s="59" t="s">
        <v>104</v>
      </c>
      <c r="B13" s="60">
        <f t="shared" ref="B13:G13" si="1">SUM(B10:B12)</f>
        <v>13647</v>
      </c>
      <c r="C13" s="60">
        <f t="shared" si="1"/>
        <v>690</v>
      </c>
      <c r="D13" s="60">
        <f t="shared" si="1"/>
        <v>17481</v>
      </c>
      <c r="E13" s="60">
        <f t="shared" si="1"/>
        <v>819</v>
      </c>
      <c r="F13" s="60">
        <f t="shared" si="1"/>
        <v>415</v>
      </c>
      <c r="G13" s="60">
        <f t="shared" si="1"/>
        <v>21</v>
      </c>
    </row>
    <row r="14" ht="45.75" customHeight="1">
      <c r="A14" s="57" t="s">
        <v>105</v>
      </c>
      <c r="B14" s="61">
        <v>107.0</v>
      </c>
      <c r="C14" s="58">
        <v>57.0</v>
      </c>
      <c r="D14" s="61">
        <v>124.0</v>
      </c>
      <c r="E14" s="58">
        <v>41.0</v>
      </c>
      <c r="F14" s="58">
        <v>1.0</v>
      </c>
      <c r="G14" s="61">
        <v>2.0</v>
      </c>
      <c r="H14" s="43" t="s">
        <v>106</v>
      </c>
    </row>
    <row r="15" ht="39.0" customHeight="1">
      <c r="A15" s="59" t="s">
        <v>107</v>
      </c>
      <c r="B15" s="60">
        <f t="shared" ref="B15:G15" si="2">SUM(B13+B14)</f>
        <v>13754</v>
      </c>
      <c r="C15" s="60">
        <f t="shared" si="2"/>
        <v>747</v>
      </c>
      <c r="D15" s="60">
        <f t="shared" si="2"/>
        <v>17605</v>
      </c>
      <c r="E15" s="60">
        <f t="shared" si="2"/>
        <v>860</v>
      </c>
      <c r="F15" s="60">
        <f t="shared" si="2"/>
        <v>416</v>
      </c>
      <c r="G15" s="60">
        <f t="shared" si="2"/>
        <v>23</v>
      </c>
    </row>
    <row r="16" ht="33.75" customHeight="1">
      <c r="A16" s="62" t="s">
        <v>108</v>
      </c>
      <c r="E16" s="63">
        <f>SUM(C13+E13+G13)</f>
        <v>1530</v>
      </c>
      <c r="F16" s="64"/>
      <c r="G16" s="64"/>
    </row>
    <row r="17" ht="33.75" customHeight="1">
      <c r="A17" s="62" t="s">
        <v>109</v>
      </c>
      <c r="E17" s="63">
        <f>SUM(B13+D13+F13)</f>
        <v>31543</v>
      </c>
      <c r="F17" s="64"/>
      <c r="G17" s="64"/>
    </row>
    <row r="18" ht="33.75" customHeight="1">
      <c r="A18" s="62" t="s">
        <v>110</v>
      </c>
      <c r="E18" s="63">
        <f>SUM(B13:G13)</f>
        <v>33073</v>
      </c>
      <c r="F18" s="64"/>
      <c r="G18" s="64"/>
    </row>
    <row r="19" ht="33.75" customHeight="1">
      <c r="A19" s="62" t="s">
        <v>111</v>
      </c>
      <c r="E19" s="63">
        <f>(SUM(B15:G15))</f>
        <v>33405</v>
      </c>
      <c r="F19" s="64"/>
      <c r="G19" s="64"/>
    </row>
    <row r="20" ht="19.5" customHeight="1">
      <c r="A20" s="65"/>
      <c r="B20" s="64"/>
      <c r="C20" s="64"/>
      <c r="D20" s="64"/>
      <c r="E20" s="64"/>
      <c r="F20" s="64"/>
      <c r="G20" s="64"/>
    </row>
    <row r="21">
      <c r="A21" s="49"/>
      <c r="B21" s="50" t="s">
        <v>95</v>
      </c>
      <c r="C21" s="51"/>
      <c r="D21" s="50" t="s">
        <v>96</v>
      </c>
      <c r="E21" s="51"/>
      <c r="F21" s="50" t="s">
        <v>97</v>
      </c>
      <c r="G21" s="51"/>
    </row>
    <row r="22" ht="48.75" customHeight="1">
      <c r="A22" s="52"/>
      <c r="B22" s="53" t="s">
        <v>98</v>
      </c>
      <c r="C22" s="53" t="s">
        <v>99</v>
      </c>
      <c r="D22" s="53" t="s">
        <v>98</v>
      </c>
      <c r="E22" s="53" t="s">
        <v>99</v>
      </c>
      <c r="F22" s="53" t="s">
        <v>98</v>
      </c>
      <c r="G22" s="53" t="s">
        <v>99</v>
      </c>
    </row>
    <row r="23" ht="15.75" customHeight="1">
      <c r="A23" s="66"/>
      <c r="B23" s="67" t="s">
        <v>112</v>
      </c>
      <c r="C23" s="68"/>
      <c r="D23" s="68"/>
      <c r="E23" s="68"/>
      <c r="F23" s="68"/>
      <c r="G23" s="69"/>
    </row>
    <row r="24" ht="33.0" customHeight="1">
      <c r="A24" s="57" t="s">
        <v>113</v>
      </c>
      <c r="B24" s="58">
        <v>1672.0</v>
      </c>
      <c r="C24" s="58">
        <v>397.0</v>
      </c>
      <c r="D24" s="58">
        <v>1756.0</v>
      </c>
      <c r="E24" s="58">
        <v>262.0</v>
      </c>
      <c r="F24" s="58">
        <v>73.0</v>
      </c>
      <c r="G24" s="58">
        <v>2.0</v>
      </c>
    </row>
    <row r="25" ht="33.0" customHeight="1">
      <c r="A25" s="57" t="s">
        <v>114</v>
      </c>
      <c r="B25" s="58">
        <v>3169.0</v>
      </c>
      <c r="C25" s="58">
        <v>1147.0</v>
      </c>
      <c r="D25" s="58">
        <v>3281.0</v>
      </c>
      <c r="E25" s="58">
        <v>780.0</v>
      </c>
      <c r="F25" s="58">
        <v>73.0</v>
      </c>
      <c r="G25" s="58">
        <v>9.0</v>
      </c>
    </row>
    <row r="26" ht="33.0" customHeight="1">
      <c r="A26" s="57" t="s">
        <v>115</v>
      </c>
      <c r="B26" s="58">
        <v>28.0</v>
      </c>
      <c r="C26" s="58">
        <v>30.0</v>
      </c>
      <c r="D26" s="58">
        <v>13.0</v>
      </c>
      <c r="E26" s="58">
        <v>30.0</v>
      </c>
      <c r="F26" s="58">
        <v>0.0</v>
      </c>
      <c r="G26" s="58">
        <v>1.0</v>
      </c>
    </row>
    <row r="27" ht="33.0" customHeight="1">
      <c r="A27" s="59" t="s">
        <v>116</v>
      </c>
      <c r="B27" s="60">
        <f t="shared" ref="B27:G27" si="3">SUM(B24:B26)</f>
        <v>4869</v>
      </c>
      <c r="C27" s="60">
        <f t="shared" si="3"/>
        <v>1574</v>
      </c>
      <c r="D27" s="60">
        <f t="shared" si="3"/>
        <v>5050</v>
      </c>
      <c r="E27" s="60">
        <f t="shared" si="3"/>
        <v>1072</v>
      </c>
      <c r="F27" s="60">
        <f t="shared" si="3"/>
        <v>146</v>
      </c>
      <c r="G27" s="60">
        <f t="shared" si="3"/>
        <v>12</v>
      </c>
    </row>
    <row r="29" ht="36.0" customHeight="1">
      <c r="A29" s="62" t="s">
        <v>117</v>
      </c>
      <c r="E29" s="63">
        <f t="array" ref="E29">SUM(C24:C25+E24:E25+G24:G25)</f>
        <v>2597</v>
      </c>
    </row>
    <row r="30" ht="36.0" customHeight="1">
      <c r="A30" s="62" t="s">
        <v>118</v>
      </c>
      <c r="E30" s="63">
        <f t="array" ref="E30">SUM(B24:B25+D24:D25+F24:F25)</f>
        <v>10024</v>
      </c>
    </row>
    <row r="31" ht="36.0" customHeight="1">
      <c r="A31" s="62" t="s">
        <v>119</v>
      </c>
      <c r="E31" s="63">
        <f>SUM(B24:G25)</f>
        <v>12621</v>
      </c>
    </row>
    <row r="32" ht="36.0" customHeight="1">
      <c r="A32" s="62" t="s">
        <v>120</v>
      </c>
      <c r="E32" s="63">
        <f>SUM(B27:G27)</f>
        <v>12723</v>
      </c>
    </row>
    <row r="33">
      <c r="A33" s="11" t="s">
        <v>121</v>
      </c>
    </row>
    <row r="34" ht="9.75" customHeight="1"/>
    <row r="35" ht="30.75" customHeight="1">
      <c r="A35" s="70" t="s">
        <v>122</v>
      </c>
    </row>
    <row r="36" ht="6.75" customHeight="1">
      <c r="A36" s="71"/>
    </row>
    <row r="37" ht="28.5" customHeight="1">
      <c r="A37" s="71" t="s">
        <v>123</v>
      </c>
    </row>
    <row r="38" ht="30.0" customHeight="1">
      <c r="A38" s="72" t="s">
        <v>124</v>
      </c>
    </row>
    <row r="39" ht="39.75" customHeight="1">
      <c r="A39" s="71" t="s">
        <v>125</v>
      </c>
    </row>
    <row r="40" ht="63.0" customHeight="1">
      <c r="A40" s="71" t="s">
        <v>126</v>
      </c>
    </row>
    <row r="41" ht="45.75" customHeight="1">
      <c r="A41" s="71" t="s">
        <v>127</v>
      </c>
    </row>
    <row r="42" ht="63.75" customHeight="1">
      <c r="A42" s="71" t="s">
        <v>128</v>
      </c>
    </row>
    <row r="43" ht="64.5" customHeight="1">
      <c r="B43" s="73" t="s">
        <v>129</v>
      </c>
      <c r="D43" s="74" t="s">
        <v>130</v>
      </c>
      <c r="F43" s="74" t="s">
        <v>131</v>
      </c>
    </row>
    <row r="44" ht="32.25" customHeight="1">
      <c r="A44" s="75" t="s">
        <v>132</v>
      </c>
      <c r="B44" s="76"/>
      <c r="C44" s="77">
        <v>610.0</v>
      </c>
      <c r="D44" s="76"/>
      <c r="E44" s="58">
        <v>3799.0</v>
      </c>
      <c r="F44" s="22"/>
      <c r="G44" s="58">
        <v>3800.0</v>
      </c>
    </row>
    <row r="45" ht="32.25" customHeight="1">
      <c r="A45" s="75" t="s">
        <v>133</v>
      </c>
      <c r="B45" s="76"/>
      <c r="C45" s="77">
        <v>1533.0</v>
      </c>
      <c r="D45" s="76"/>
      <c r="E45" s="58">
        <v>7209.0</v>
      </c>
      <c r="F45" s="22"/>
      <c r="G45" s="58">
        <v>7210.0</v>
      </c>
    </row>
    <row r="46" ht="32.25" customHeight="1">
      <c r="A46" s="75" t="s">
        <v>134</v>
      </c>
      <c r="B46" s="76"/>
      <c r="C46" s="77">
        <v>129.0</v>
      </c>
      <c r="D46" s="76"/>
      <c r="E46" s="58">
        <v>704.0</v>
      </c>
      <c r="F46" s="22"/>
      <c r="G46" s="58">
        <v>704.0</v>
      </c>
    </row>
    <row r="47" ht="32.25" customHeight="1">
      <c r="A47" s="75" t="s">
        <v>135</v>
      </c>
      <c r="B47" s="76"/>
      <c r="C47" s="77">
        <v>1192.0</v>
      </c>
      <c r="D47" s="76"/>
      <c r="E47" s="58">
        <v>6456.0</v>
      </c>
      <c r="F47" s="22"/>
      <c r="G47" s="58">
        <v>6457.0</v>
      </c>
    </row>
    <row r="48" ht="32.25" customHeight="1">
      <c r="A48" s="75" t="s">
        <v>136</v>
      </c>
      <c r="B48" s="76"/>
      <c r="C48" s="77">
        <v>6.0</v>
      </c>
      <c r="D48" s="76"/>
      <c r="E48" s="58">
        <v>38.0</v>
      </c>
      <c r="F48" s="22"/>
      <c r="G48" s="58">
        <v>38.0</v>
      </c>
    </row>
    <row r="49" ht="32.25" customHeight="1">
      <c r="A49" s="75" t="s">
        <v>137</v>
      </c>
      <c r="B49" s="76"/>
      <c r="C49" s="77">
        <v>2464.0</v>
      </c>
      <c r="D49" s="76"/>
      <c r="E49" s="58">
        <v>11655.0</v>
      </c>
      <c r="F49" s="22"/>
      <c r="G49" s="58">
        <v>11657.0</v>
      </c>
    </row>
    <row r="50" ht="32.25" customHeight="1">
      <c r="A50" s="75" t="s">
        <v>138</v>
      </c>
      <c r="B50" s="76"/>
      <c r="C50" s="77">
        <v>8.0</v>
      </c>
      <c r="D50" s="76"/>
      <c r="E50" s="58">
        <v>34.0</v>
      </c>
      <c r="F50" s="22"/>
      <c r="G50" s="58">
        <v>34.0</v>
      </c>
    </row>
    <row r="51" ht="32.25" customHeight="1">
      <c r="A51" s="75" t="s">
        <v>139</v>
      </c>
      <c r="B51" s="76"/>
      <c r="C51" s="77">
        <v>420.0</v>
      </c>
      <c r="D51" s="76"/>
      <c r="E51" s="58">
        <v>2056.0</v>
      </c>
      <c r="F51" s="22"/>
      <c r="G51" s="58">
        <v>2056.0</v>
      </c>
    </row>
    <row r="52" ht="32.25" customHeight="1">
      <c r="A52" s="75" t="s">
        <v>140</v>
      </c>
      <c r="B52" s="76"/>
      <c r="C52" s="77">
        <v>279.0</v>
      </c>
      <c r="D52" s="76"/>
      <c r="E52" s="58">
        <v>1122.0</v>
      </c>
      <c r="F52" s="22"/>
      <c r="G52" s="58">
        <v>1122.0</v>
      </c>
    </row>
    <row r="53" ht="32.25" customHeight="1">
      <c r="A53" s="65" t="s">
        <v>141</v>
      </c>
      <c r="B53" s="76"/>
      <c r="C53" s="78">
        <f>SUM(C44:C52)</f>
        <v>6641</v>
      </c>
      <c r="D53" s="76"/>
      <c r="E53" s="79">
        <f>SUM(E44:E52)</f>
        <v>33073</v>
      </c>
      <c r="F53" s="80"/>
      <c r="G53" s="79">
        <f>SUM(G44:G52)</f>
        <v>33078</v>
      </c>
    </row>
    <row r="54" ht="13.5" customHeight="1">
      <c r="A54" s="65"/>
      <c r="B54" s="76"/>
      <c r="C54" s="76"/>
      <c r="D54" s="76"/>
      <c r="E54" s="80"/>
      <c r="F54" s="80"/>
      <c r="G54" s="81"/>
    </row>
    <row r="55">
      <c r="A55" s="11" t="s">
        <v>142</v>
      </c>
    </row>
    <row r="56" ht="22.5" customHeight="1">
      <c r="A56" s="82" t="s">
        <v>143</v>
      </c>
    </row>
    <row r="57" ht="12.0" customHeight="1">
      <c r="A57" s="62"/>
      <c r="B57" s="62"/>
      <c r="C57" s="62"/>
      <c r="D57" s="83"/>
    </row>
    <row r="58" ht="24.75" customHeight="1">
      <c r="A58" s="84" t="s">
        <v>144</v>
      </c>
      <c r="B58" s="85"/>
      <c r="C58" s="86"/>
      <c r="D58" s="87" t="s">
        <v>145</v>
      </c>
      <c r="F58" s="77"/>
    </row>
    <row r="59" ht="24.75" customHeight="1">
      <c r="A59" s="84"/>
      <c r="B59" s="88"/>
      <c r="C59" s="86"/>
      <c r="D59" s="87"/>
      <c r="E59" s="89"/>
    </row>
    <row r="60" ht="24.75" customHeight="1">
      <c r="A60" s="84" t="s">
        <v>146</v>
      </c>
      <c r="B60" s="77">
        <v>9216.0</v>
      </c>
      <c r="C60" s="86"/>
      <c r="D60" s="87" t="s">
        <v>147</v>
      </c>
      <c r="F60" s="90">
        <v>85.0</v>
      </c>
      <c r="G60" s="91" t="s">
        <v>148</v>
      </c>
    </row>
    <row r="61" ht="24.75" customHeight="1">
      <c r="A61" s="84"/>
      <c r="B61" s="86"/>
      <c r="C61" s="86"/>
      <c r="D61" s="87"/>
      <c r="E61" s="87"/>
      <c r="F61" s="87"/>
    </row>
    <row r="62" ht="24.75" customHeight="1">
      <c r="A62" s="84" t="s">
        <v>149</v>
      </c>
      <c r="B62" s="77">
        <v>4022.0</v>
      </c>
      <c r="C62" s="86"/>
      <c r="D62" s="87" t="s">
        <v>150</v>
      </c>
      <c r="F62" s="92"/>
    </row>
    <row r="63" ht="24.75" customHeight="1">
      <c r="A63" s="84"/>
      <c r="B63" s="88"/>
      <c r="C63" s="86"/>
      <c r="D63" s="87"/>
      <c r="E63" s="89"/>
    </row>
    <row r="64" ht="24.75" customHeight="1">
      <c r="A64" s="84" t="s">
        <v>151</v>
      </c>
      <c r="B64" s="77">
        <v>840.0</v>
      </c>
      <c r="C64" s="93" t="s">
        <v>152</v>
      </c>
      <c r="F64" s="77">
        <v>405.0</v>
      </c>
    </row>
    <row r="65" ht="24.75" customHeight="1">
      <c r="A65" s="84"/>
      <c r="B65" s="88"/>
      <c r="C65" s="88"/>
      <c r="D65" s="94"/>
    </row>
    <row r="66" ht="24.75" customHeight="1">
      <c r="A66" s="84" t="s">
        <v>153</v>
      </c>
      <c r="B66" s="77"/>
      <c r="C66" s="88"/>
      <c r="D66" s="94"/>
    </row>
    <row r="68">
      <c r="A68" s="11" t="s">
        <v>154</v>
      </c>
    </row>
    <row r="69" ht="4.5" customHeight="1">
      <c r="A69" s="3"/>
    </row>
    <row r="70" ht="15.75" customHeight="1">
      <c r="A70" s="95" t="s">
        <v>155</v>
      </c>
    </row>
    <row r="71" ht="6.75" customHeight="1">
      <c r="A71" s="96"/>
    </row>
    <row r="72" ht="36.75" customHeight="1">
      <c r="A72" s="44" t="s">
        <v>156</v>
      </c>
    </row>
    <row r="73" ht="6.75" customHeight="1">
      <c r="A73" s="97"/>
    </row>
    <row r="74" ht="36.75" customHeight="1">
      <c r="A74" s="98" t="s">
        <v>157</v>
      </c>
    </row>
    <row r="75" ht="114.75" customHeight="1">
      <c r="A75" s="95" t="s">
        <v>158</v>
      </c>
    </row>
    <row r="76" ht="13.5" customHeight="1">
      <c r="A76" s="99"/>
      <c r="H76" s="16"/>
      <c r="I76" s="16"/>
      <c r="J76" s="16"/>
      <c r="K76" s="16"/>
      <c r="L76" s="16"/>
      <c r="M76" s="16"/>
      <c r="N76" s="16"/>
      <c r="O76" s="16"/>
      <c r="P76" s="16"/>
      <c r="Q76" s="16"/>
      <c r="R76" s="16"/>
      <c r="S76" s="16"/>
      <c r="T76" s="16"/>
      <c r="U76" s="16"/>
      <c r="V76" s="16"/>
      <c r="W76" s="16"/>
      <c r="X76" s="16"/>
      <c r="Y76" s="16"/>
      <c r="Z76" s="16"/>
    </row>
    <row r="77">
      <c r="A77" s="100" t="s">
        <v>159</v>
      </c>
      <c r="D77" s="101" t="s">
        <v>160</v>
      </c>
      <c r="E77" s="68"/>
      <c r="F77" s="68"/>
      <c r="G77" s="102"/>
    </row>
    <row r="78" ht="132.0" customHeight="1">
      <c r="A78" s="103"/>
      <c r="B78" s="103"/>
      <c r="C78" s="103"/>
      <c r="D78" s="53" t="s">
        <v>161</v>
      </c>
      <c r="E78" s="53" t="s">
        <v>162</v>
      </c>
      <c r="F78" s="53" t="s">
        <v>163</v>
      </c>
      <c r="G78" s="104" t="s">
        <v>141</v>
      </c>
    </row>
    <row r="79" ht="60.0" customHeight="1">
      <c r="A79" s="105" t="s">
        <v>164</v>
      </c>
      <c r="B79" s="56"/>
      <c r="C79" s="51"/>
      <c r="D79" s="58">
        <v>1241.0</v>
      </c>
      <c r="E79" s="58">
        <v>513.0</v>
      </c>
      <c r="F79" s="58">
        <v>4590.0</v>
      </c>
      <c r="G79" s="106">
        <f t="shared" ref="G79:G84" si="4">SUM(D79:F79)</f>
        <v>6344</v>
      </c>
    </row>
    <row r="80" ht="138.0" customHeight="1">
      <c r="A80" s="107" t="s">
        <v>165</v>
      </c>
      <c r="B80" s="56"/>
      <c r="C80" s="51"/>
      <c r="D80" s="58">
        <v>0.0</v>
      </c>
      <c r="E80" s="58">
        <v>0.0</v>
      </c>
      <c r="F80" s="58">
        <v>0.0</v>
      </c>
      <c r="G80" s="106">
        <f t="shared" si="4"/>
        <v>0</v>
      </c>
    </row>
    <row r="81" ht="63.75" customHeight="1">
      <c r="A81" s="105" t="s">
        <v>166</v>
      </c>
      <c r="B81" s="56"/>
      <c r="C81" s="51"/>
      <c r="D81" s="106">
        <f t="shared" ref="D81:F81" si="5">D79-D80</f>
        <v>1241</v>
      </c>
      <c r="E81" s="106">
        <f t="shared" si="5"/>
        <v>513</v>
      </c>
      <c r="F81" s="106">
        <f t="shared" si="5"/>
        <v>4590</v>
      </c>
      <c r="G81" s="106">
        <f t="shared" si="4"/>
        <v>6344</v>
      </c>
    </row>
    <row r="82" ht="63.75" customHeight="1">
      <c r="A82" s="105" t="s">
        <v>167</v>
      </c>
      <c r="B82" s="56"/>
      <c r="C82" s="51"/>
      <c r="D82" s="58">
        <v>890.0</v>
      </c>
      <c r="E82" s="58">
        <v>400.0</v>
      </c>
      <c r="F82" s="58">
        <v>3835.0</v>
      </c>
      <c r="G82" s="106">
        <f t="shared" si="4"/>
        <v>5125</v>
      </c>
    </row>
    <row r="83" ht="63.75" customHeight="1">
      <c r="A83" s="105" t="s">
        <v>168</v>
      </c>
      <c r="B83" s="56"/>
      <c r="C83" s="51"/>
      <c r="D83" s="58">
        <v>172.0</v>
      </c>
      <c r="E83" s="58">
        <v>58.0</v>
      </c>
      <c r="F83" s="58">
        <v>428.0</v>
      </c>
      <c r="G83" s="106">
        <f t="shared" si="4"/>
        <v>658</v>
      </c>
    </row>
    <row r="84" ht="63.75" customHeight="1">
      <c r="A84" s="105" t="s">
        <v>169</v>
      </c>
      <c r="B84" s="56"/>
      <c r="C84" s="51"/>
      <c r="D84" s="61">
        <v>35.0</v>
      </c>
      <c r="E84" s="61">
        <v>8.0</v>
      </c>
      <c r="F84" s="61">
        <v>67.0</v>
      </c>
      <c r="G84" s="106">
        <f t="shared" si="4"/>
        <v>110</v>
      </c>
      <c r="H84" s="43" t="s">
        <v>170</v>
      </c>
    </row>
    <row r="85" ht="36.0" customHeight="1">
      <c r="A85" s="108" t="s">
        <v>171</v>
      </c>
      <c r="B85" s="56"/>
      <c r="C85" s="51"/>
      <c r="D85" s="106">
        <f t="shared" ref="D85:G85" si="6">SUM(D82:D84)</f>
        <v>1097</v>
      </c>
      <c r="E85" s="106">
        <f t="shared" si="6"/>
        <v>466</v>
      </c>
      <c r="F85" s="106">
        <f t="shared" si="6"/>
        <v>4330</v>
      </c>
      <c r="G85" s="106">
        <f t="shared" si="6"/>
        <v>5893</v>
      </c>
    </row>
    <row r="86" ht="57.0" customHeight="1">
      <c r="A86" s="108" t="s">
        <v>172</v>
      </c>
      <c r="B86" s="56"/>
      <c r="C86" s="51"/>
      <c r="D86" s="109">
        <f t="shared" ref="D86:G86" si="7">D85/D81</f>
        <v>0.8839645447</v>
      </c>
      <c r="E86" s="109">
        <f t="shared" si="7"/>
        <v>0.9083820663</v>
      </c>
      <c r="F86" s="109">
        <f t="shared" si="7"/>
        <v>0.9433551198</v>
      </c>
      <c r="G86" s="109">
        <f t="shared" si="7"/>
        <v>0.9289092055</v>
      </c>
    </row>
    <row r="87" ht="12.75" customHeight="1">
      <c r="A87" s="110"/>
      <c r="B87" s="110"/>
      <c r="C87" s="110"/>
      <c r="D87" s="111"/>
      <c r="E87" s="111"/>
      <c r="F87" s="111"/>
      <c r="G87" s="111"/>
    </row>
    <row r="88" ht="15.75" customHeight="1">
      <c r="A88" s="100" t="s">
        <v>159</v>
      </c>
      <c r="D88" s="101" t="s">
        <v>173</v>
      </c>
      <c r="E88" s="68"/>
      <c r="F88" s="68"/>
      <c r="G88" s="102"/>
    </row>
    <row r="89" ht="126.0" customHeight="1">
      <c r="A89" s="103"/>
      <c r="B89" s="103"/>
      <c r="C89" s="103"/>
      <c r="D89" s="53" t="s">
        <v>161</v>
      </c>
      <c r="E89" s="53" t="s">
        <v>162</v>
      </c>
      <c r="F89" s="53" t="s">
        <v>163</v>
      </c>
      <c r="G89" s="104" t="s">
        <v>141</v>
      </c>
    </row>
    <row r="90" ht="48.75" customHeight="1">
      <c r="A90" s="107" t="s">
        <v>174</v>
      </c>
      <c r="B90" s="56"/>
      <c r="C90" s="51"/>
      <c r="D90" s="58">
        <v>1203.0</v>
      </c>
      <c r="E90" s="58">
        <v>469.0</v>
      </c>
      <c r="F90" s="58">
        <v>4527.0</v>
      </c>
      <c r="G90" s="106">
        <f t="shared" ref="G90:G95" si="8">SUM(D90:F90)</f>
        <v>6199</v>
      </c>
    </row>
    <row r="91" ht="81.0" customHeight="1">
      <c r="A91" s="107" t="s">
        <v>175</v>
      </c>
      <c r="B91" s="56"/>
      <c r="C91" s="51"/>
      <c r="D91" s="58">
        <v>0.0</v>
      </c>
      <c r="E91" s="58">
        <v>0.0</v>
      </c>
      <c r="F91" s="58">
        <v>0.0</v>
      </c>
      <c r="G91" s="106">
        <f t="shared" si="8"/>
        <v>0</v>
      </c>
    </row>
    <row r="92" ht="27.0" customHeight="1">
      <c r="A92" s="107" t="s">
        <v>176</v>
      </c>
      <c r="B92" s="56"/>
      <c r="C92" s="51"/>
      <c r="D92" s="106">
        <f t="shared" ref="D92:F92" si="9">D90-D91</f>
        <v>1203</v>
      </c>
      <c r="E92" s="106">
        <f t="shared" si="9"/>
        <v>469</v>
      </c>
      <c r="F92" s="106">
        <f t="shared" si="9"/>
        <v>4527</v>
      </c>
      <c r="G92" s="106">
        <f t="shared" si="8"/>
        <v>6199</v>
      </c>
    </row>
    <row r="93" ht="43.5" customHeight="1">
      <c r="A93" s="107" t="s">
        <v>177</v>
      </c>
      <c r="B93" s="56"/>
      <c r="C93" s="51"/>
      <c r="D93" s="58">
        <v>832.0</v>
      </c>
      <c r="E93" s="58">
        <v>375.0</v>
      </c>
      <c r="F93" s="58">
        <v>3859.0</v>
      </c>
      <c r="G93" s="106">
        <f t="shared" si="8"/>
        <v>5066</v>
      </c>
    </row>
    <row r="94" ht="54.75" customHeight="1">
      <c r="A94" s="107" t="s">
        <v>178</v>
      </c>
      <c r="B94" s="56"/>
      <c r="C94" s="51"/>
      <c r="D94" s="58">
        <v>202.0</v>
      </c>
      <c r="E94" s="58">
        <v>51.0</v>
      </c>
      <c r="F94" s="58">
        <v>409.0</v>
      </c>
      <c r="G94" s="106">
        <f t="shared" si="8"/>
        <v>662</v>
      </c>
    </row>
    <row r="95" ht="54.75" customHeight="1">
      <c r="A95" s="107" t="s">
        <v>179</v>
      </c>
      <c r="B95" s="56"/>
      <c r="C95" s="51"/>
      <c r="D95" s="58">
        <v>36.0</v>
      </c>
      <c r="E95" s="58">
        <v>4.0</v>
      </c>
      <c r="F95" s="58">
        <v>61.0</v>
      </c>
      <c r="G95" s="106">
        <f t="shared" si="8"/>
        <v>101</v>
      </c>
    </row>
    <row r="96" ht="36.75" customHeight="1">
      <c r="A96" s="112" t="s">
        <v>180</v>
      </c>
      <c r="B96" s="56"/>
      <c r="C96" s="51"/>
      <c r="D96" s="106">
        <f t="shared" ref="D96:G96" si="10">SUM(D93:D95)</f>
        <v>1070</v>
      </c>
      <c r="E96" s="106">
        <f t="shared" si="10"/>
        <v>430</v>
      </c>
      <c r="F96" s="106">
        <f t="shared" si="10"/>
        <v>4329</v>
      </c>
      <c r="G96" s="106">
        <f t="shared" si="10"/>
        <v>5829</v>
      </c>
    </row>
    <row r="97" ht="39.0" customHeight="1">
      <c r="A97" s="112" t="s">
        <v>181</v>
      </c>
      <c r="B97" s="56"/>
      <c r="C97" s="51"/>
      <c r="D97" s="109">
        <f t="shared" ref="D97:G97" si="11">D96/D92</f>
        <v>0.889443059</v>
      </c>
      <c r="E97" s="109">
        <f t="shared" si="11"/>
        <v>0.9168443497</v>
      </c>
      <c r="F97" s="109">
        <f t="shared" si="11"/>
        <v>0.9562624254</v>
      </c>
      <c r="G97" s="109">
        <f t="shared" si="11"/>
        <v>0.9403129537</v>
      </c>
    </row>
    <row r="98" ht="6.0" customHeight="1">
      <c r="A98" s="110"/>
      <c r="B98" s="110"/>
      <c r="C98" s="110"/>
      <c r="D98" s="111"/>
      <c r="E98" s="111"/>
      <c r="F98" s="111"/>
      <c r="G98" s="111"/>
    </row>
    <row r="99">
      <c r="A99" s="113" t="s">
        <v>182</v>
      </c>
      <c r="F99" s="111"/>
      <c r="G99" s="111"/>
    </row>
    <row r="100" ht="7.5" customHeight="1"/>
    <row r="101" ht="36.75" customHeight="1">
      <c r="A101" s="114" t="s">
        <v>183</v>
      </c>
      <c r="B101" s="56"/>
      <c r="C101" s="51"/>
      <c r="D101" s="115" t="s">
        <v>184</v>
      </c>
      <c r="E101" s="115" t="s">
        <v>185</v>
      </c>
    </row>
    <row r="102" ht="41.25" customHeight="1">
      <c r="A102" s="116" t="s">
        <v>186</v>
      </c>
      <c r="B102" s="56"/>
      <c r="C102" s="51"/>
      <c r="D102" s="92"/>
      <c r="E102" s="92"/>
    </row>
    <row r="103" ht="84.0" customHeight="1">
      <c r="A103" s="117" t="s">
        <v>187</v>
      </c>
      <c r="B103" s="56"/>
      <c r="C103" s="51"/>
      <c r="D103" s="92"/>
      <c r="E103" s="92"/>
    </row>
    <row r="104" ht="41.25" customHeight="1">
      <c r="A104" s="117" t="s">
        <v>188</v>
      </c>
      <c r="B104" s="56"/>
      <c r="C104" s="51"/>
      <c r="D104" s="118">
        <f t="shared" ref="D104:E104" si="12">D102-D103</f>
        <v>0</v>
      </c>
      <c r="E104" s="118">
        <f t="shared" si="12"/>
        <v>0</v>
      </c>
    </row>
    <row r="105" ht="41.25" customHeight="1">
      <c r="A105" s="117" t="s">
        <v>189</v>
      </c>
      <c r="B105" s="56"/>
      <c r="C105" s="51"/>
      <c r="D105" s="92"/>
      <c r="E105" s="92"/>
    </row>
    <row r="106" ht="41.25" customHeight="1">
      <c r="A106" s="116" t="s">
        <v>190</v>
      </c>
      <c r="B106" s="56"/>
      <c r="C106" s="51"/>
      <c r="D106" s="92"/>
      <c r="E106" s="92"/>
    </row>
    <row r="107" ht="41.25" customHeight="1">
      <c r="A107" s="116" t="s">
        <v>191</v>
      </c>
      <c r="B107" s="56"/>
      <c r="C107" s="51"/>
      <c r="D107" s="92"/>
      <c r="E107" s="92"/>
    </row>
    <row r="108" ht="41.25" customHeight="1">
      <c r="A108" s="116" t="s">
        <v>192</v>
      </c>
      <c r="B108" s="56"/>
      <c r="C108" s="51"/>
      <c r="D108" s="92"/>
      <c r="E108" s="92"/>
    </row>
    <row r="109" ht="41.25" customHeight="1">
      <c r="A109" s="116" t="s">
        <v>193</v>
      </c>
      <c r="B109" s="56"/>
      <c r="C109" s="51"/>
      <c r="D109" s="92"/>
      <c r="E109" s="92"/>
    </row>
    <row r="110" ht="41.25" customHeight="1">
      <c r="A110" s="116" t="s">
        <v>194</v>
      </c>
      <c r="B110" s="56"/>
      <c r="C110" s="51"/>
      <c r="D110" s="92"/>
      <c r="E110" s="92"/>
    </row>
    <row r="111" ht="41.25" customHeight="1">
      <c r="A111" s="116" t="s">
        <v>195</v>
      </c>
      <c r="B111" s="56"/>
      <c r="C111" s="51"/>
      <c r="D111" s="92"/>
      <c r="E111" s="92"/>
    </row>
    <row r="113">
      <c r="A113" s="11" t="s">
        <v>196</v>
      </c>
    </row>
    <row r="115" ht="15.75" customHeight="1">
      <c r="A115" s="2" t="s">
        <v>197</v>
      </c>
    </row>
    <row r="142">
      <c r="A142" s="119" t="s">
        <v>198</v>
      </c>
      <c r="B142" s="120">
        <v>0.9673</v>
      </c>
    </row>
    <row r="145">
      <c r="A145" s="45" t="s">
        <v>199</v>
      </c>
      <c r="B145" s="9"/>
      <c r="C145" s="9"/>
      <c r="D145" s="9"/>
      <c r="E145" s="9"/>
      <c r="F145" s="9"/>
      <c r="G145" s="10"/>
    </row>
  </sheetData>
  <mergeCells count="73">
    <mergeCell ref="A88:C89"/>
    <mergeCell ref="D88:G88"/>
    <mergeCell ref="A90:C90"/>
    <mergeCell ref="A91:C91"/>
    <mergeCell ref="A92:C92"/>
    <mergeCell ref="A93:C93"/>
    <mergeCell ref="A94:C94"/>
    <mergeCell ref="A95:C95"/>
    <mergeCell ref="A96:C96"/>
    <mergeCell ref="A97:C97"/>
    <mergeCell ref="A99:E99"/>
    <mergeCell ref="A101:C101"/>
    <mergeCell ref="A102:C102"/>
    <mergeCell ref="A103:C103"/>
    <mergeCell ref="A111:C111"/>
    <mergeCell ref="A115:G140"/>
    <mergeCell ref="A145:G145"/>
    <mergeCell ref="A104:C104"/>
    <mergeCell ref="A105:C105"/>
    <mergeCell ref="A106:C106"/>
    <mergeCell ref="A107:C107"/>
    <mergeCell ref="A108:C108"/>
    <mergeCell ref="A109:C109"/>
    <mergeCell ref="A110:C110"/>
    <mergeCell ref="A1:G1"/>
    <mergeCell ref="A4:G4"/>
    <mergeCell ref="A5:G5"/>
    <mergeCell ref="B7:C7"/>
    <mergeCell ref="D7:E7"/>
    <mergeCell ref="F7:G7"/>
    <mergeCell ref="B9:G9"/>
    <mergeCell ref="A16:D16"/>
    <mergeCell ref="A17:D17"/>
    <mergeCell ref="A18:D18"/>
    <mergeCell ref="A19:D19"/>
    <mergeCell ref="D21:E21"/>
    <mergeCell ref="F21:G21"/>
    <mergeCell ref="B23:G23"/>
    <mergeCell ref="B21:C21"/>
    <mergeCell ref="A29:D29"/>
    <mergeCell ref="A30:D30"/>
    <mergeCell ref="A31:D31"/>
    <mergeCell ref="A32:D32"/>
    <mergeCell ref="A35:G35"/>
    <mergeCell ref="A36:G36"/>
    <mergeCell ref="A37:G37"/>
    <mergeCell ref="A38:G38"/>
    <mergeCell ref="A39:G39"/>
    <mergeCell ref="A40:G40"/>
    <mergeCell ref="A41:G41"/>
    <mergeCell ref="A42:G42"/>
    <mergeCell ref="B43:C43"/>
    <mergeCell ref="D43:E43"/>
    <mergeCell ref="F43:G43"/>
    <mergeCell ref="D58:E58"/>
    <mergeCell ref="D60:E60"/>
    <mergeCell ref="D62:E62"/>
    <mergeCell ref="C64:E64"/>
    <mergeCell ref="A70:G70"/>
    <mergeCell ref="A72:G72"/>
    <mergeCell ref="A74:G74"/>
    <mergeCell ref="A75:G75"/>
    <mergeCell ref="A76:G76"/>
    <mergeCell ref="A77:C78"/>
    <mergeCell ref="D77:G77"/>
    <mergeCell ref="A79:C79"/>
    <mergeCell ref="A80:C80"/>
    <mergeCell ref="A81:C81"/>
    <mergeCell ref="A82:C82"/>
    <mergeCell ref="A83:C83"/>
    <mergeCell ref="A84:C84"/>
    <mergeCell ref="A85:C85"/>
    <mergeCell ref="A86:C86"/>
  </mergeCells>
  <hyperlinks>
    <hyperlink r:id="rId1" ref="A72"/>
  </hyperlinks>
  <printOptions/>
  <pageMargins bottom="0.75" footer="0.0" header="0.0" left="0.7" right="0.7" top="0.75"/>
  <pageSetup orientation="landscape"/>
  <headerFooter>
    <oddHeader>&amp;C </oddHeader>
    <oddFooter>&amp;C  </oddFooter>
  </headerFooter>
  <rowBreaks count="3" manualBreakCount="3">
    <brk id="98" man="1"/>
    <brk id="67" man="1"/>
    <brk id="87" man="1"/>
  </rowBrea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89"/>
    <col customWidth="1" min="2" max="2" width="61.44"/>
    <col customWidth="1" min="3" max="6" width="13.0"/>
    <col customWidth="1" min="7" max="15" width="10.89"/>
    <col customWidth="1" min="16" max="27" width="11.0"/>
  </cols>
  <sheetData>
    <row r="1">
      <c r="A1" s="121"/>
      <c r="B1" s="8" t="s">
        <v>200</v>
      </c>
      <c r="C1" s="9"/>
      <c r="D1" s="9"/>
      <c r="E1" s="9"/>
      <c r="F1" s="10"/>
      <c r="P1" s="122"/>
      <c r="Q1" s="122"/>
    </row>
    <row r="2">
      <c r="A2" s="11"/>
      <c r="B2" s="11" t="s">
        <v>201</v>
      </c>
      <c r="P2" s="122"/>
      <c r="Q2" s="122"/>
    </row>
    <row r="3" ht="274.5" customHeight="1">
      <c r="A3" s="95"/>
      <c r="B3" s="95" t="s">
        <v>202</v>
      </c>
      <c r="P3" s="122"/>
      <c r="Q3" s="122"/>
    </row>
    <row r="4">
      <c r="A4" s="123"/>
      <c r="B4" s="123"/>
      <c r="C4" s="1"/>
      <c r="D4" s="22"/>
      <c r="E4" s="22"/>
      <c r="P4" s="122"/>
      <c r="Q4" s="122"/>
    </row>
    <row r="5" ht="33.75" customHeight="1">
      <c r="A5" s="124"/>
      <c r="B5" s="124"/>
      <c r="C5" s="125" t="s">
        <v>95</v>
      </c>
      <c r="D5" s="74" t="s">
        <v>96</v>
      </c>
      <c r="E5" s="74" t="s">
        <v>97</v>
      </c>
      <c r="P5" s="122"/>
      <c r="Q5" s="122"/>
    </row>
    <row r="6">
      <c r="A6" s="126"/>
      <c r="B6" s="126" t="s">
        <v>203</v>
      </c>
      <c r="C6" s="58">
        <v>57218.0</v>
      </c>
      <c r="D6" s="58">
        <v>62676.0</v>
      </c>
      <c r="E6" s="58">
        <v>2509.0</v>
      </c>
      <c r="P6" s="122"/>
      <c r="Q6" s="122"/>
    </row>
    <row r="7">
      <c r="A7" s="126"/>
      <c r="B7" s="126"/>
      <c r="C7" s="127"/>
      <c r="D7" s="80"/>
      <c r="E7" s="80"/>
      <c r="P7" s="122"/>
      <c r="Q7" s="122"/>
    </row>
    <row r="8">
      <c r="A8" s="126"/>
      <c r="B8" s="126" t="s">
        <v>204</v>
      </c>
      <c r="C8" s="58">
        <v>5198.0</v>
      </c>
      <c r="D8" s="58">
        <v>8752.0</v>
      </c>
      <c r="E8" s="58">
        <v>326.0</v>
      </c>
      <c r="P8" s="122"/>
      <c r="Q8" s="122"/>
    </row>
    <row r="9">
      <c r="A9" s="126"/>
      <c r="B9" s="126"/>
      <c r="C9" s="127"/>
      <c r="D9" s="80"/>
      <c r="E9" s="80"/>
      <c r="P9" s="122"/>
      <c r="Q9" s="122"/>
    </row>
    <row r="10">
      <c r="A10" s="126"/>
      <c r="B10" s="126" t="s">
        <v>205</v>
      </c>
      <c r="C10" s="58">
        <v>2684.0</v>
      </c>
      <c r="D10" s="58">
        <v>3851.0</v>
      </c>
      <c r="E10" s="58">
        <v>106.0</v>
      </c>
      <c r="P10" s="122"/>
      <c r="Q10" s="122"/>
    </row>
    <row r="11">
      <c r="A11" s="126"/>
      <c r="B11" s="126"/>
      <c r="C11" s="127"/>
      <c r="D11" s="80"/>
      <c r="E11" s="80"/>
      <c r="P11" s="122"/>
      <c r="Q11" s="122"/>
    </row>
    <row r="12">
      <c r="A12" s="128"/>
      <c r="B12" s="128" t="s">
        <v>206</v>
      </c>
      <c r="C12" s="58">
        <v>2674.0</v>
      </c>
      <c r="D12" s="58">
        <v>3824.0</v>
      </c>
      <c r="E12" s="58">
        <v>106.0</v>
      </c>
      <c r="P12" s="122"/>
      <c r="Q12" s="122"/>
    </row>
    <row r="13">
      <c r="A13" s="126"/>
      <c r="B13" s="126"/>
      <c r="C13" s="127"/>
      <c r="D13" s="80"/>
      <c r="E13" s="80"/>
      <c r="P13" s="122"/>
      <c r="Q13" s="122"/>
    </row>
    <row r="14">
      <c r="A14" s="126"/>
      <c r="B14" s="126" t="s">
        <v>207</v>
      </c>
      <c r="C14" s="58">
        <v>10.0</v>
      </c>
      <c r="D14" s="58">
        <v>27.0</v>
      </c>
      <c r="E14" s="58">
        <v>0.0</v>
      </c>
      <c r="P14" s="122"/>
      <c r="Q14" s="122"/>
    </row>
    <row r="15">
      <c r="A15" s="124"/>
      <c r="B15" s="124"/>
      <c r="C15" s="127"/>
      <c r="D15" s="80"/>
      <c r="E15" s="80"/>
      <c r="P15" s="122"/>
      <c r="Q15" s="122"/>
    </row>
    <row r="16">
      <c r="A16" s="124"/>
      <c r="B16" s="124"/>
      <c r="C16" s="80"/>
      <c r="D16" s="80"/>
      <c r="E16" s="80"/>
      <c r="F16" s="80"/>
      <c r="P16" s="122"/>
      <c r="Q16" s="122"/>
    </row>
    <row r="17">
      <c r="A17" s="124"/>
      <c r="B17" s="124"/>
      <c r="C17" s="80"/>
      <c r="D17" s="80"/>
      <c r="E17" s="80"/>
      <c r="F17" s="80"/>
      <c r="P17" s="122"/>
      <c r="Q17" s="122"/>
    </row>
    <row r="18">
      <c r="A18" s="124"/>
      <c r="B18" s="124"/>
      <c r="D18" s="80"/>
      <c r="E18" s="80"/>
      <c r="F18" s="80"/>
      <c r="P18" s="122"/>
      <c r="Q18" s="122"/>
    </row>
    <row r="19">
      <c r="A19" s="129"/>
      <c r="B19" s="129"/>
      <c r="C19" s="104" t="s">
        <v>208</v>
      </c>
      <c r="D19" s="104" t="s">
        <v>209</v>
      </c>
      <c r="E19" s="104" t="s">
        <v>210</v>
      </c>
      <c r="F19" s="104" t="s">
        <v>141</v>
      </c>
      <c r="P19" s="122"/>
      <c r="Q19" s="122"/>
    </row>
    <row r="20">
      <c r="A20" s="126"/>
      <c r="B20" s="130" t="s">
        <v>211</v>
      </c>
      <c r="C20" s="58">
        <v>72666.0</v>
      </c>
      <c r="D20" s="58">
        <v>31313.0</v>
      </c>
      <c r="E20" s="61">
        <v>21937.0</v>
      </c>
      <c r="F20" s="79">
        <v>125916.0</v>
      </c>
      <c r="G20" s="131" t="s">
        <v>212</v>
      </c>
      <c r="P20" s="122"/>
      <c r="Q20" s="122"/>
    </row>
    <row r="21">
      <c r="A21" s="126"/>
      <c r="B21" s="130" t="s">
        <v>213</v>
      </c>
      <c r="C21" s="58">
        <v>11002.0</v>
      </c>
      <c r="D21" s="58">
        <v>2541.0</v>
      </c>
      <c r="E21" s="61">
        <v>1226.0</v>
      </c>
      <c r="F21" s="79">
        <v>14769.0</v>
      </c>
      <c r="P21" s="122"/>
      <c r="Q21" s="122"/>
    </row>
    <row r="22">
      <c r="A22" s="89"/>
      <c r="B22" s="132" t="s">
        <v>214</v>
      </c>
      <c r="C22" s="133">
        <v>5289.0</v>
      </c>
      <c r="D22" s="133">
        <v>737.0</v>
      </c>
      <c r="E22" s="133">
        <v>615.0</v>
      </c>
      <c r="F22" s="79">
        <v>6641.0</v>
      </c>
      <c r="P22" s="122"/>
      <c r="Q22" s="122"/>
    </row>
    <row r="23">
      <c r="P23" s="122"/>
      <c r="Q23" s="122"/>
    </row>
    <row r="24">
      <c r="A24" s="11"/>
      <c r="B24" s="11" t="s">
        <v>215</v>
      </c>
      <c r="P24" s="122"/>
      <c r="Q24" s="122"/>
    </row>
    <row r="25">
      <c r="P25" s="122"/>
      <c r="Q25" s="122"/>
    </row>
    <row r="26">
      <c r="A26" s="26"/>
      <c r="B26" s="26" t="s">
        <v>216</v>
      </c>
      <c r="P26" s="122"/>
      <c r="Q26" s="122"/>
    </row>
    <row r="27">
      <c r="P27" s="122"/>
      <c r="Q27" s="122"/>
    </row>
    <row r="28">
      <c r="A28" s="6"/>
      <c r="B28" s="6" t="s">
        <v>217</v>
      </c>
      <c r="C28" s="21" t="s">
        <v>33</v>
      </c>
    </row>
    <row r="29">
      <c r="A29" s="26"/>
      <c r="B29" s="26" t="s">
        <v>218</v>
      </c>
      <c r="C29" s="22"/>
    </row>
    <row r="30">
      <c r="C30" s="22"/>
    </row>
    <row r="31">
      <c r="A31" s="26"/>
      <c r="B31" s="26" t="s">
        <v>219</v>
      </c>
      <c r="C31" s="22"/>
    </row>
    <row r="32">
      <c r="A32" s="89"/>
      <c r="B32" s="89" t="s">
        <v>220</v>
      </c>
      <c r="C32" s="134">
        <v>7001.0</v>
      </c>
    </row>
    <row r="33">
      <c r="A33" s="89"/>
      <c r="B33" s="89" t="s">
        <v>221</v>
      </c>
      <c r="C33" s="134">
        <v>4820.0</v>
      </c>
    </row>
    <row r="34">
      <c r="A34" s="89"/>
      <c r="B34" s="89" t="s">
        <v>222</v>
      </c>
      <c r="C34" s="134">
        <v>1191.0</v>
      </c>
    </row>
    <row r="35">
      <c r="C35" s="22"/>
    </row>
    <row r="36">
      <c r="A36" s="89"/>
      <c r="B36" s="89" t="s">
        <v>223</v>
      </c>
      <c r="C36" s="21" t="s">
        <v>224</v>
      </c>
    </row>
    <row r="37">
      <c r="A37" s="135"/>
      <c r="B37" s="135" t="s">
        <v>225</v>
      </c>
      <c r="C37" s="21"/>
    </row>
    <row r="38">
      <c r="A38" s="135"/>
      <c r="B38" s="135" t="s">
        <v>226</v>
      </c>
      <c r="C38" s="21"/>
    </row>
    <row r="42">
      <c r="A42" s="11"/>
      <c r="B42" s="11" t="s">
        <v>227</v>
      </c>
    </row>
    <row r="44">
      <c r="B44" s="4" t="s">
        <v>228</v>
      </c>
    </row>
    <row r="45">
      <c r="A45" s="80"/>
      <c r="B45" s="29" t="s">
        <v>229</v>
      </c>
    </row>
    <row r="46">
      <c r="A46" s="12"/>
      <c r="B46" s="12"/>
    </row>
    <row r="47">
      <c r="A47" s="12"/>
      <c r="B47" s="12"/>
    </row>
    <row r="48">
      <c r="A48" s="12"/>
      <c r="B48" s="12"/>
    </row>
    <row r="50">
      <c r="A50" s="11"/>
      <c r="B50" s="11" t="s">
        <v>230</v>
      </c>
    </row>
    <row r="52" ht="36.0" customHeight="1">
      <c r="A52" s="2"/>
      <c r="B52" s="2" t="s">
        <v>231</v>
      </c>
    </row>
    <row r="53">
      <c r="A53" s="80"/>
      <c r="B53" s="29" t="s">
        <v>232</v>
      </c>
    </row>
    <row r="55">
      <c r="A55" s="136"/>
      <c r="B55" s="136" t="s">
        <v>233</v>
      </c>
    </row>
    <row r="57" ht="45.75" customHeight="1">
      <c r="A57" s="2"/>
      <c r="B57" s="2" t="s">
        <v>234</v>
      </c>
    </row>
    <row r="58">
      <c r="C58" s="137" t="s">
        <v>235</v>
      </c>
      <c r="D58" s="137" t="s">
        <v>236</v>
      </c>
    </row>
    <row r="59">
      <c r="A59" s="40"/>
      <c r="B59" s="49" t="s">
        <v>237</v>
      </c>
      <c r="C59" s="133">
        <v>15.0</v>
      </c>
      <c r="D59" s="133">
        <v>18.0</v>
      </c>
    </row>
    <row r="60">
      <c r="A60" s="40"/>
      <c r="B60" s="49" t="s">
        <v>238</v>
      </c>
      <c r="C60" s="133">
        <v>4.0</v>
      </c>
      <c r="D60" s="133">
        <v>4.0</v>
      </c>
    </row>
    <row r="61">
      <c r="A61" s="40"/>
      <c r="B61" s="49" t="s">
        <v>239</v>
      </c>
      <c r="C61" s="133">
        <v>3.0</v>
      </c>
      <c r="D61" s="133">
        <v>4.0</v>
      </c>
    </row>
    <row r="62">
      <c r="A62" s="40"/>
      <c r="B62" s="49" t="s">
        <v>240</v>
      </c>
      <c r="C62" s="133">
        <v>2.0</v>
      </c>
      <c r="D62" s="133">
        <v>3.0</v>
      </c>
    </row>
    <row r="63">
      <c r="A63" s="40"/>
      <c r="B63" s="49" t="s">
        <v>241</v>
      </c>
      <c r="C63" s="133">
        <v>2.0</v>
      </c>
      <c r="D63" s="133">
        <v>3.0</v>
      </c>
    </row>
    <row r="64">
      <c r="A64" s="40"/>
      <c r="B64" s="49" t="s">
        <v>242</v>
      </c>
      <c r="C64" s="133">
        <v>2.0</v>
      </c>
      <c r="D64" s="133">
        <v>3.0</v>
      </c>
    </row>
    <row r="65">
      <c r="A65" s="40"/>
      <c r="B65" s="49" t="s">
        <v>243</v>
      </c>
      <c r="C65" s="133">
        <v>0.0</v>
      </c>
      <c r="D65" s="133">
        <v>0.0</v>
      </c>
    </row>
    <row r="66">
      <c r="A66" s="40"/>
      <c r="B66" s="49" t="s">
        <v>244</v>
      </c>
      <c r="C66" s="133">
        <v>2.0</v>
      </c>
      <c r="D66" s="133">
        <v>2.0</v>
      </c>
    </row>
    <row r="67">
      <c r="A67" s="40"/>
      <c r="B67" s="49" t="s">
        <v>245</v>
      </c>
      <c r="C67" s="133">
        <v>0.0</v>
      </c>
      <c r="D67" s="133">
        <v>0.0</v>
      </c>
    </row>
    <row r="68">
      <c r="A68" s="40"/>
      <c r="B68" s="49" t="s">
        <v>246</v>
      </c>
      <c r="C68" s="133">
        <v>1.0</v>
      </c>
      <c r="D68" s="133">
        <v>1.0</v>
      </c>
    </row>
    <row r="69" ht="19.5" customHeight="1">
      <c r="A69" s="40"/>
      <c r="B69" s="49" t="s">
        <v>247</v>
      </c>
      <c r="C69" s="133">
        <v>1.0</v>
      </c>
      <c r="D69" s="133">
        <v>1.0</v>
      </c>
    </row>
    <row r="70" ht="16.5" customHeight="1">
      <c r="C70" s="138"/>
      <c r="D70" s="138"/>
    </row>
    <row r="71">
      <c r="A71" s="16"/>
      <c r="B71" s="16" t="s">
        <v>248</v>
      </c>
    </row>
    <row r="72" ht="36.0" customHeight="1">
      <c r="A72" s="139"/>
      <c r="B72" s="140"/>
      <c r="C72" s="122"/>
      <c r="D72" s="122"/>
      <c r="E72" s="122"/>
    </row>
    <row r="73" ht="9.75" customHeight="1">
      <c r="A73" s="23"/>
      <c r="B73" s="23"/>
      <c r="C73" s="122"/>
      <c r="D73" s="122"/>
      <c r="E73" s="122"/>
    </row>
    <row r="74" ht="21.0" customHeight="1">
      <c r="A74" s="122"/>
      <c r="B74" s="122" t="s">
        <v>249</v>
      </c>
      <c r="C74" s="122"/>
      <c r="D74" s="122"/>
      <c r="E74" s="122"/>
    </row>
    <row r="75" ht="36.0" customHeight="1">
      <c r="A75" s="139"/>
      <c r="B75" s="140"/>
      <c r="C75" s="122"/>
      <c r="D75" s="122"/>
      <c r="E75" s="122"/>
    </row>
    <row r="76" ht="13.5" customHeight="1">
      <c r="A76" s="122"/>
      <c r="B76" s="122"/>
      <c r="C76" s="122"/>
      <c r="D76" s="122"/>
      <c r="E76" s="122"/>
    </row>
    <row r="77">
      <c r="A77" s="136"/>
      <c r="B77" s="136" t="s">
        <v>250</v>
      </c>
    </row>
    <row r="79" ht="67.5" customHeight="1">
      <c r="A79" s="2"/>
      <c r="B79" s="2" t="s">
        <v>251</v>
      </c>
    </row>
    <row r="80">
      <c r="A80" s="141"/>
      <c r="B80" s="142" t="s">
        <v>252</v>
      </c>
      <c r="C80" s="43" t="s">
        <v>148</v>
      </c>
    </row>
    <row r="82">
      <c r="A82" s="26"/>
      <c r="B82" s="26" t="s">
        <v>253</v>
      </c>
    </row>
    <row r="83" ht="82.5" customHeight="1">
      <c r="A83" s="143"/>
      <c r="B83" s="144" t="s">
        <v>254</v>
      </c>
    </row>
    <row r="85">
      <c r="A85" s="136"/>
      <c r="B85" s="136" t="s">
        <v>255</v>
      </c>
    </row>
    <row r="87">
      <c r="A87" s="2"/>
      <c r="B87" s="2" t="s">
        <v>256</v>
      </c>
    </row>
    <row r="88">
      <c r="A88" s="2"/>
    </row>
    <row r="90">
      <c r="A90" s="1"/>
      <c r="B90" s="1" t="s">
        <v>257</v>
      </c>
    </row>
    <row r="91">
      <c r="B91" s="4" t="s">
        <v>258</v>
      </c>
      <c r="C91" s="145" t="s">
        <v>259</v>
      </c>
    </row>
    <row r="92">
      <c r="B92" s="4" t="s">
        <v>260</v>
      </c>
      <c r="C92" s="145" t="s">
        <v>261</v>
      </c>
    </row>
    <row r="93">
      <c r="B93" s="4" t="s">
        <v>262</v>
      </c>
      <c r="C93" s="145" t="s">
        <v>259</v>
      </c>
    </row>
    <row r="94">
      <c r="B94" s="4" t="s">
        <v>263</v>
      </c>
      <c r="C94" s="145" t="s">
        <v>264</v>
      </c>
      <c r="D94" s="146" t="s">
        <v>265</v>
      </c>
    </row>
    <row r="95">
      <c r="B95" s="4" t="s">
        <v>266</v>
      </c>
      <c r="C95" s="145" t="s">
        <v>264</v>
      </c>
      <c r="D95" s="146" t="s">
        <v>267</v>
      </c>
    </row>
    <row r="96">
      <c r="B96" s="4" t="s">
        <v>268</v>
      </c>
      <c r="C96" s="145" t="s">
        <v>259</v>
      </c>
    </row>
    <row r="97">
      <c r="A97" s="1"/>
      <c r="B97" s="1" t="s">
        <v>269</v>
      </c>
    </row>
    <row r="98">
      <c r="B98" s="4" t="s">
        <v>270</v>
      </c>
      <c r="C98" s="145" t="s">
        <v>261</v>
      </c>
    </row>
    <row r="99">
      <c r="B99" s="4" t="s">
        <v>271</v>
      </c>
      <c r="C99" s="145" t="s">
        <v>272</v>
      </c>
    </row>
    <row r="100">
      <c r="B100" s="4" t="s">
        <v>273</v>
      </c>
      <c r="C100" s="145" t="s">
        <v>264</v>
      </c>
    </row>
    <row r="101">
      <c r="B101" s="4" t="s">
        <v>274</v>
      </c>
      <c r="C101" s="145" t="s">
        <v>272</v>
      </c>
    </row>
    <row r="102">
      <c r="B102" s="4" t="s">
        <v>275</v>
      </c>
      <c r="C102" s="145" t="s">
        <v>264</v>
      </c>
    </row>
    <row r="103">
      <c r="B103" s="4" t="s">
        <v>276</v>
      </c>
      <c r="C103" s="145" t="s">
        <v>261</v>
      </c>
    </row>
    <row r="104">
      <c r="B104" s="4" t="s">
        <v>277</v>
      </c>
      <c r="C104" s="145" t="s">
        <v>261</v>
      </c>
    </row>
    <row r="105">
      <c r="B105" s="4" t="s">
        <v>278</v>
      </c>
      <c r="C105" s="145" t="s">
        <v>264</v>
      </c>
    </row>
    <row r="106">
      <c r="B106" s="4" t="s">
        <v>279</v>
      </c>
      <c r="C106" s="145" t="s">
        <v>261</v>
      </c>
    </row>
    <row r="107">
      <c r="B107" s="4" t="s">
        <v>280</v>
      </c>
      <c r="C107" s="145" t="s">
        <v>272</v>
      </c>
    </row>
    <row r="108">
      <c r="B108" s="4" t="s">
        <v>281</v>
      </c>
      <c r="C108" s="145" t="s">
        <v>272</v>
      </c>
    </row>
    <row r="109">
      <c r="B109" s="4" t="s">
        <v>282</v>
      </c>
      <c r="C109" s="145" t="s">
        <v>261</v>
      </c>
    </row>
    <row r="111">
      <c r="B111" s="4" t="s">
        <v>283</v>
      </c>
    </row>
    <row r="112" ht="105.75" customHeight="1">
      <c r="A112" s="147"/>
      <c r="B112" s="148"/>
    </row>
    <row r="114">
      <c r="A114" s="136"/>
      <c r="B114" s="136" t="s">
        <v>284</v>
      </c>
    </row>
    <row r="115" ht="33.75" customHeight="1">
      <c r="A115" s="95"/>
      <c r="B115" s="95" t="s">
        <v>285</v>
      </c>
      <c r="E115" s="29" t="s">
        <v>33</v>
      </c>
    </row>
    <row r="116">
      <c r="A116" s="149"/>
      <c r="B116" s="149" t="s">
        <v>286</v>
      </c>
    </row>
    <row r="117">
      <c r="A117" s="150"/>
      <c r="B117" s="150" t="s">
        <v>287</v>
      </c>
    </row>
    <row r="118" ht="27.0" customHeight="1">
      <c r="A118" s="12"/>
      <c r="B118" s="12" t="s">
        <v>288</v>
      </c>
    </row>
    <row r="119">
      <c r="A119" s="22"/>
      <c r="B119" s="21" t="s">
        <v>289</v>
      </c>
    </row>
    <row r="120" ht="27.75" customHeight="1">
      <c r="A120" s="12"/>
      <c r="B120" s="12" t="s">
        <v>290</v>
      </c>
    </row>
    <row r="121">
      <c r="A121" s="80"/>
      <c r="B121" s="29" t="s">
        <v>289</v>
      </c>
    </row>
    <row r="122" ht="28.5" customHeight="1">
      <c r="A122" s="12"/>
      <c r="B122" s="12" t="s">
        <v>291</v>
      </c>
    </row>
    <row r="123">
      <c r="A123" s="80"/>
      <c r="B123" s="29" t="s">
        <v>289</v>
      </c>
    </row>
    <row r="125">
      <c r="B125" s="4" t="s">
        <v>292</v>
      </c>
      <c r="C125" s="29" t="s">
        <v>33</v>
      </c>
    </row>
    <row r="127">
      <c r="B127" s="4" t="s">
        <v>293</v>
      </c>
      <c r="E127" s="151">
        <v>45488.0</v>
      </c>
    </row>
    <row r="128">
      <c r="A128" s="26"/>
      <c r="B128" s="26" t="s">
        <v>294</v>
      </c>
    </row>
    <row r="129">
      <c r="A129" s="152"/>
      <c r="B129" s="152" t="s">
        <v>295</v>
      </c>
    </row>
    <row r="130" ht="51.0" customHeight="1">
      <c r="A130" s="2"/>
      <c r="B130" s="2" t="s">
        <v>296</v>
      </c>
    </row>
    <row r="131" ht="93.75" customHeight="1">
      <c r="A131" s="23"/>
      <c r="B131" s="153" t="s">
        <v>297</v>
      </c>
    </row>
    <row r="133">
      <c r="A133" s="6"/>
      <c r="B133" s="141" t="s">
        <v>298</v>
      </c>
    </row>
    <row r="134">
      <c r="A134" s="154" t="s">
        <v>299</v>
      </c>
      <c r="B134" s="155" t="s">
        <v>300</v>
      </c>
      <c r="C134" s="23"/>
      <c r="D134" s="23"/>
      <c r="E134" s="23"/>
      <c r="F134" s="23"/>
    </row>
    <row r="135">
      <c r="A135" s="156" t="s">
        <v>299</v>
      </c>
      <c r="B135" s="155" t="s">
        <v>301</v>
      </c>
      <c r="D135" s="23"/>
      <c r="E135" s="23"/>
      <c r="F135" s="23"/>
    </row>
    <row r="136">
      <c r="A136" s="156" t="s">
        <v>299</v>
      </c>
      <c r="B136" s="155" t="s">
        <v>302</v>
      </c>
      <c r="C136" s="23"/>
      <c r="D136" s="23"/>
      <c r="E136" s="23"/>
      <c r="F136" s="23"/>
    </row>
    <row r="137">
      <c r="A137" s="157"/>
      <c r="B137" s="155" t="s">
        <v>303</v>
      </c>
      <c r="C137" s="23"/>
      <c r="D137" s="23"/>
      <c r="E137" s="23"/>
      <c r="F137" s="23"/>
    </row>
    <row r="138">
      <c r="A138" s="156" t="s">
        <v>299</v>
      </c>
      <c r="B138" s="155" t="s">
        <v>304</v>
      </c>
      <c r="C138" s="23"/>
      <c r="D138" s="23"/>
      <c r="E138" s="23"/>
      <c r="F138" s="23"/>
    </row>
    <row r="139">
      <c r="A139" s="157"/>
      <c r="B139" s="155" t="s">
        <v>305</v>
      </c>
      <c r="C139" s="23"/>
      <c r="D139" s="23"/>
      <c r="E139" s="23"/>
      <c r="F139" s="23"/>
    </row>
    <row r="140">
      <c r="A140" s="150"/>
      <c r="B140" s="150" t="s">
        <v>306</v>
      </c>
      <c r="C140" s="23"/>
      <c r="D140" s="23"/>
      <c r="E140" s="23"/>
      <c r="F140" s="23"/>
    </row>
    <row r="141">
      <c r="C141" s="23"/>
      <c r="D141" s="23"/>
      <c r="E141" s="23"/>
      <c r="F141" s="23"/>
    </row>
    <row r="142">
      <c r="A142" s="158"/>
      <c r="B142" s="158" t="s">
        <v>307</v>
      </c>
      <c r="C142" s="23"/>
      <c r="D142" s="23"/>
      <c r="E142" s="23"/>
      <c r="F142" s="23"/>
    </row>
    <row r="143" ht="70.5" customHeight="1">
      <c r="A143" s="2"/>
      <c r="B143" s="37"/>
      <c r="C143" s="23"/>
      <c r="D143" s="23"/>
      <c r="E143" s="23"/>
      <c r="F143" s="23"/>
    </row>
    <row r="144">
      <c r="A144" s="136"/>
      <c r="B144" s="136" t="s">
        <v>308</v>
      </c>
    </row>
    <row r="145" ht="3.75" customHeight="1"/>
    <row r="146" ht="69.0" customHeight="1">
      <c r="A146" s="95"/>
      <c r="B146" s="95" t="s">
        <v>309</v>
      </c>
    </row>
    <row r="147" ht="24.75" customHeight="1">
      <c r="A147" s="159"/>
      <c r="B147" s="159" t="s">
        <v>310</v>
      </c>
    </row>
    <row r="148">
      <c r="A148" s="95"/>
      <c r="B148" s="95" t="s">
        <v>311</v>
      </c>
    </row>
    <row r="149">
      <c r="A149" s="159"/>
      <c r="B149" s="159" t="s">
        <v>312</v>
      </c>
      <c r="C149" s="12"/>
      <c r="D149" s="12"/>
      <c r="E149" s="12"/>
      <c r="F149" s="12"/>
    </row>
    <row r="150" ht="52.5" customHeight="1">
      <c r="A150" s="2"/>
      <c r="B150" s="2" t="s">
        <v>313</v>
      </c>
    </row>
    <row r="152">
      <c r="C152" s="1" t="s">
        <v>314</v>
      </c>
      <c r="D152" s="1" t="s">
        <v>315</v>
      </c>
    </row>
    <row r="153">
      <c r="A153" s="119"/>
      <c r="B153" s="119" t="s">
        <v>316</v>
      </c>
      <c r="C153" s="120"/>
      <c r="D153" s="160"/>
    </row>
    <row r="154">
      <c r="A154" s="119"/>
      <c r="B154" s="119" t="s">
        <v>317</v>
      </c>
      <c r="C154" s="120"/>
      <c r="D154" s="160"/>
    </row>
    <row r="156" ht="37.5" customHeight="1">
      <c r="A156" s="95"/>
      <c r="B156" s="95" t="s">
        <v>318</v>
      </c>
    </row>
    <row r="157" ht="4.5" customHeight="1"/>
    <row r="158" ht="60.75" customHeight="1">
      <c r="A158" s="161"/>
      <c r="B158" s="161" t="s">
        <v>319</v>
      </c>
      <c r="C158" s="73" t="s">
        <v>320</v>
      </c>
      <c r="D158" s="73" t="s">
        <v>321</v>
      </c>
      <c r="E158" s="73" t="s">
        <v>322</v>
      </c>
    </row>
    <row r="159">
      <c r="A159" s="12"/>
      <c r="B159" s="12" t="s">
        <v>323</v>
      </c>
      <c r="C159" s="162"/>
      <c r="D159" s="162"/>
      <c r="E159" s="162"/>
    </row>
    <row r="160">
      <c r="A160" s="12"/>
      <c r="B160" s="12" t="s">
        <v>324</v>
      </c>
      <c r="C160" s="162"/>
      <c r="D160" s="162"/>
      <c r="E160" s="162"/>
    </row>
    <row r="161">
      <c r="A161" s="12"/>
      <c r="B161" s="12" t="s">
        <v>325</v>
      </c>
      <c r="C161" s="162"/>
      <c r="D161" s="162"/>
      <c r="E161" s="162"/>
    </row>
    <row r="162">
      <c r="A162" s="12"/>
      <c r="B162" s="12" t="s">
        <v>326</v>
      </c>
      <c r="C162" s="162"/>
      <c r="D162" s="162"/>
      <c r="E162" s="162"/>
    </row>
    <row r="163">
      <c r="A163" s="12"/>
      <c r="B163" s="12" t="s">
        <v>327</v>
      </c>
      <c r="C163" s="162"/>
      <c r="D163" s="162"/>
      <c r="E163" s="162"/>
    </row>
    <row r="164">
      <c r="A164" s="12"/>
      <c r="B164" s="12" t="s">
        <v>328</v>
      </c>
      <c r="C164" s="162"/>
      <c r="D164" s="162"/>
      <c r="E164" s="162"/>
    </row>
    <row r="165">
      <c r="A165" s="12"/>
      <c r="B165" s="12" t="s">
        <v>329</v>
      </c>
      <c r="C165" s="162"/>
      <c r="D165" s="162"/>
      <c r="E165" s="162"/>
    </row>
    <row r="166">
      <c r="A166" s="12"/>
      <c r="B166" s="12" t="s">
        <v>330</v>
      </c>
      <c r="C166" s="162"/>
      <c r="D166" s="162"/>
      <c r="E166" s="162"/>
    </row>
    <row r="167">
      <c r="A167" s="12"/>
      <c r="B167" s="12" t="s">
        <v>331</v>
      </c>
      <c r="C167" s="162"/>
      <c r="D167" s="162"/>
      <c r="E167" s="162"/>
    </row>
    <row r="168">
      <c r="A168" s="163"/>
      <c r="B168" s="163" t="s">
        <v>332</v>
      </c>
    </row>
    <row r="169">
      <c r="A169" s="164"/>
      <c r="B169" s="165" t="s">
        <v>333</v>
      </c>
      <c r="C169" s="166" t="s">
        <v>334</v>
      </c>
      <c r="D169" s="53" t="s">
        <v>335</v>
      </c>
    </row>
    <row r="170">
      <c r="A170" s="167"/>
      <c r="B170" s="168" t="s">
        <v>336</v>
      </c>
      <c r="C170" s="169"/>
      <c r="D170" s="170"/>
    </row>
    <row r="171">
      <c r="A171" s="167"/>
      <c r="B171" s="168" t="s">
        <v>337</v>
      </c>
      <c r="C171" s="169"/>
      <c r="D171" s="170"/>
    </row>
    <row r="172">
      <c r="A172" s="167"/>
      <c r="B172" s="168" t="s">
        <v>338</v>
      </c>
      <c r="C172" s="169"/>
      <c r="D172" s="170"/>
    </row>
    <row r="173">
      <c r="A173" s="167"/>
      <c r="B173" s="168" t="s">
        <v>339</v>
      </c>
      <c r="C173" s="169"/>
      <c r="D173" s="170"/>
    </row>
    <row r="174">
      <c r="A174" s="167"/>
      <c r="B174" s="168" t="s">
        <v>340</v>
      </c>
      <c r="C174" s="169"/>
      <c r="D174" s="170"/>
    </row>
    <row r="175">
      <c r="A175" s="167"/>
      <c r="B175" s="168" t="s">
        <v>341</v>
      </c>
      <c r="C175" s="169"/>
      <c r="D175" s="170"/>
    </row>
    <row r="176">
      <c r="A176" s="135"/>
      <c r="B176" s="171" t="s">
        <v>141</v>
      </c>
      <c r="C176" s="172">
        <f t="shared" ref="C176:D176" si="1">SUM(C170:C175)</f>
        <v>0</v>
      </c>
      <c r="D176" s="173">
        <f t="shared" si="1"/>
        <v>0</v>
      </c>
    </row>
    <row r="178">
      <c r="A178" s="164"/>
      <c r="B178" s="165" t="s">
        <v>333</v>
      </c>
      <c r="C178" s="166" t="s">
        <v>342</v>
      </c>
      <c r="E178" s="165" t="s">
        <v>333</v>
      </c>
      <c r="F178" s="166" t="s">
        <v>343</v>
      </c>
    </row>
    <row r="179">
      <c r="A179" s="167"/>
      <c r="B179" s="168" t="s">
        <v>344</v>
      </c>
      <c r="C179" s="169"/>
      <c r="E179" s="174" t="s">
        <v>345</v>
      </c>
      <c r="F179" s="169"/>
    </row>
    <row r="180">
      <c r="A180" s="167"/>
      <c r="B180" s="168" t="s">
        <v>346</v>
      </c>
      <c r="C180" s="169"/>
      <c r="E180" s="174" t="s">
        <v>347</v>
      </c>
      <c r="F180" s="169"/>
    </row>
    <row r="181">
      <c r="A181" s="167"/>
      <c r="B181" s="168" t="s">
        <v>348</v>
      </c>
      <c r="C181" s="169"/>
      <c r="E181" s="174" t="s">
        <v>349</v>
      </c>
      <c r="F181" s="169"/>
    </row>
    <row r="182">
      <c r="A182" s="167"/>
      <c r="B182" s="168" t="s">
        <v>350</v>
      </c>
      <c r="C182" s="169"/>
      <c r="E182" s="174" t="s">
        <v>351</v>
      </c>
      <c r="F182" s="169"/>
    </row>
    <row r="183">
      <c r="A183" s="167"/>
      <c r="B183" s="168" t="s">
        <v>352</v>
      </c>
      <c r="C183" s="169"/>
      <c r="E183" s="174" t="s">
        <v>353</v>
      </c>
      <c r="F183" s="169"/>
    </row>
    <row r="184">
      <c r="A184" s="167"/>
      <c r="B184" s="168" t="s">
        <v>354</v>
      </c>
      <c r="C184" s="169"/>
      <c r="E184" s="174" t="s">
        <v>355</v>
      </c>
      <c r="F184" s="169"/>
    </row>
    <row r="185">
      <c r="A185" s="135"/>
      <c r="B185" s="171" t="s">
        <v>141</v>
      </c>
      <c r="C185" s="172">
        <f>SUM(C179:C184)</f>
        <v>0</v>
      </c>
      <c r="E185" s="175" t="s">
        <v>141</v>
      </c>
      <c r="F185" s="172">
        <f>SUM(F179:F184)</f>
        <v>0</v>
      </c>
    </row>
    <row r="188">
      <c r="A188" s="164"/>
      <c r="B188" s="165" t="s">
        <v>333</v>
      </c>
      <c r="C188" s="176" t="s">
        <v>356</v>
      </c>
      <c r="D188" s="176" t="s">
        <v>357</v>
      </c>
      <c r="E188" s="176" t="s">
        <v>358</v>
      </c>
      <c r="F188" s="176" t="s">
        <v>359</v>
      </c>
    </row>
    <row r="189">
      <c r="A189" s="177"/>
      <c r="B189" s="174" t="s">
        <v>345</v>
      </c>
      <c r="C189" s="170"/>
      <c r="D189" s="170"/>
      <c r="E189" s="170"/>
      <c r="F189" s="170"/>
    </row>
    <row r="190">
      <c r="A190" s="177"/>
      <c r="B190" s="174" t="s">
        <v>347</v>
      </c>
      <c r="C190" s="170"/>
      <c r="D190" s="170"/>
      <c r="E190" s="170"/>
      <c r="F190" s="170"/>
    </row>
    <row r="191">
      <c r="A191" s="177"/>
      <c r="B191" s="174" t="s">
        <v>349</v>
      </c>
      <c r="C191" s="170"/>
      <c r="D191" s="170"/>
      <c r="E191" s="170"/>
      <c r="F191" s="170"/>
    </row>
    <row r="192">
      <c r="A192" s="177"/>
      <c r="B192" s="174" t="s">
        <v>351</v>
      </c>
      <c r="C192" s="170"/>
      <c r="D192" s="170"/>
      <c r="E192" s="170"/>
      <c r="F192" s="170"/>
    </row>
    <row r="193">
      <c r="A193" s="177"/>
      <c r="B193" s="174" t="s">
        <v>353</v>
      </c>
      <c r="C193" s="170"/>
      <c r="D193" s="170"/>
      <c r="E193" s="170"/>
      <c r="F193" s="170"/>
    </row>
    <row r="194">
      <c r="A194" s="177"/>
      <c r="B194" s="174" t="s">
        <v>355</v>
      </c>
      <c r="C194" s="170"/>
      <c r="D194" s="170"/>
      <c r="E194" s="170"/>
      <c r="F194" s="170"/>
    </row>
    <row r="195">
      <c r="A195" s="178"/>
      <c r="B195" s="175" t="s">
        <v>141</v>
      </c>
      <c r="C195" s="173">
        <f t="shared" ref="C195:F195" si="2">SUM(C189:C194)</f>
        <v>0</v>
      </c>
      <c r="D195" s="173">
        <f t="shared" si="2"/>
        <v>0</v>
      </c>
      <c r="E195" s="173">
        <f t="shared" si="2"/>
        <v>0</v>
      </c>
      <c r="F195" s="173">
        <f t="shared" si="2"/>
        <v>0</v>
      </c>
    </row>
    <row r="196">
      <c r="A196" s="136"/>
      <c r="B196" s="136" t="s">
        <v>360</v>
      </c>
    </row>
    <row r="198" ht="37.5" customHeight="1">
      <c r="A198" s="95"/>
      <c r="B198" s="95" t="s">
        <v>361</v>
      </c>
    </row>
    <row r="200">
      <c r="A200" s="119"/>
      <c r="B200" s="179" t="s">
        <v>362</v>
      </c>
      <c r="C200" s="180" t="s">
        <v>363</v>
      </c>
    </row>
    <row r="201" ht="34.5" customHeight="1">
      <c r="A201" s="164"/>
      <c r="B201" s="165" t="s">
        <v>364</v>
      </c>
      <c r="C201" s="181"/>
    </row>
    <row r="202" ht="34.5" customHeight="1">
      <c r="A202" s="164"/>
      <c r="B202" s="165" t="s">
        <v>365</v>
      </c>
      <c r="C202" s="181"/>
    </row>
    <row r="203" ht="34.5" customHeight="1">
      <c r="A203" s="164"/>
      <c r="B203" s="165" t="s">
        <v>366</v>
      </c>
      <c r="C203" s="181"/>
      <c r="E203" s="74" t="s">
        <v>367</v>
      </c>
    </row>
    <row r="204" ht="34.5" customHeight="1">
      <c r="A204" s="164"/>
      <c r="B204" s="165" t="s">
        <v>368</v>
      </c>
      <c r="C204" s="181"/>
    </row>
    <row r="205" ht="34.5" customHeight="1">
      <c r="A205" s="164"/>
      <c r="B205" s="165" t="s">
        <v>369</v>
      </c>
      <c r="C205" s="181"/>
    </row>
    <row r="206" ht="34.5" customHeight="1">
      <c r="A206" s="164"/>
      <c r="B206" s="165" t="s">
        <v>370</v>
      </c>
      <c r="C206" s="181"/>
    </row>
    <row r="210">
      <c r="A210" s="136"/>
      <c r="B210" s="136" t="s">
        <v>371</v>
      </c>
    </row>
    <row r="212" ht="39.75" customHeight="1">
      <c r="A212" s="182"/>
      <c r="B212" s="182" t="s">
        <v>372</v>
      </c>
    </row>
    <row r="213" ht="22.5" customHeight="1">
      <c r="A213" s="183"/>
      <c r="B213" s="183" t="s">
        <v>373</v>
      </c>
    </row>
    <row r="214" ht="54.0" customHeight="1">
      <c r="A214" s="183"/>
      <c r="B214" s="183" t="s">
        <v>374</v>
      </c>
    </row>
    <row r="216">
      <c r="C216" s="184"/>
      <c r="D216" s="184"/>
      <c r="F216" s="185"/>
    </row>
    <row r="217">
      <c r="A217" s="80"/>
      <c r="B217" s="80" t="s">
        <v>333</v>
      </c>
      <c r="C217" s="74" t="s">
        <v>375</v>
      </c>
      <c r="D217" s="74" t="s">
        <v>376</v>
      </c>
      <c r="E217" s="74" t="s">
        <v>377</v>
      </c>
    </row>
    <row r="218" ht="16.5" customHeight="1">
      <c r="A218" s="96"/>
      <c r="B218" s="96" t="s">
        <v>378</v>
      </c>
      <c r="C218" s="186"/>
      <c r="D218" s="186"/>
      <c r="E218" s="187">
        <v>0.383</v>
      </c>
    </row>
    <row r="219">
      <c r="A219" s="96"/>
      <c r="B219" s="96" t="s">
        <v>379</v>
      </c>
      <c r="C219" s="186"/>
      <c r="D219" s="186"/>
      <c r="E219" s="188">
        <v>0.498</v>
      </c>
    </row>
    <row r="220">
      <c r="A220" s="96"/>
      <c r="B220" s="96" t="s">
        <v>380</v>
      </c>
      <c r="C220" s="186"/>
      <c r="D220" s="186"/>
      <c r="E220" s="188">
        <v>0.095</v>
      </c>
    </row>
    <row r="221">
      <c r="A221" s="96"/>
      <c r="B221" s="96" t="s">
        <v>381</v>
      </c>
      <c r="C221" s="186"/>
      <c r="D221" s="186"/>
      <c r="E221" s="188">
        <v>0.016</v>
      </c>
    </row>
    <row r="222">
      <c r="A222" s="96"/>
      <c r="B222" s="96" t="s">
        <v>382</v>
      </c>
      <c r="C222" s="186"/>
      <c r="D222" s="186"/>
      <c r="E222" s="188">
        <v>0.005</v>
      </c>
    </row>
    <row r="223">
      <c r="A223" s="96"/>
      <c r="B223" s="96" t="s">
        <v>383</v>
      </c>
      <c r="C223" s="186"/>
      <c r="D223" s="186"/>
      <c r="E223" s="188">
        <v>0.003</v>
      </c>
    </row>
    <row r="224">
      <c r="A224" s="96"/>
      <c r="B224" s="96" t="s">
        <v>384</v>
      </c>
      <c r="C224" s="186"/>
      <c r="D224" s="186"/>
      <c r="E224" s="188">
        <v>0.0</v>
      </c>
    </row>
    <row r="225">
      <c r="A225" s="96"/>
      <c r="B225" s="96" t="s">
        <v>385</v>
      </c>
      <c r="C225" s="186"/>
      <c r="D225" s="186"/>
      <c r="E225" s="188">
        <v>0.0</v>
      </c>
    </row>
    <row r="226">
      <c r="A226" s="96"/>
      <c r="B226" s="96" t="s">
        <v>386</v>
      </c>
      <c r="C226" s="186"/>
      <c r="D226" s="186"/>
      <c r="E226" s="188">
        <v>0.0</v>
      </c>
    </row>
    <row r="227">
      <c r="A227" s="189"/>
      <c r="B227" s="189" t="s">
        <v>141</v>
      </c>
      <c r="C227" s="190">
        <f t="shared" ref="C227:E227" si="3">SUM(C218:C226)</f>
        <v>0</v>
      </c>
      <c r="D227" s="190">
        <f t="shared" si="3"/>
        <v>0</v>
      </c>
      <c r="E227" s="190">
        <f t="shared" si="3"/>
        <v>1</v>
      </c>
    </row>
    <row r="229" ht="15.75" customHeight="1">
      <c r="A229" s="191"/>
      <c r="B229" s="191" t="s">
        <v>387</v>
      </c>
      <c r="F229" s="192"/>
    </row>
    <row r="230">
      <c r="A230" s="191"/>
      <c r="F230" s="192"/>
    </row>
    <row r="231">
      <c r="A231" s="193"/>
      <c r="B231" s="193" t="s">
        <v>388</v>
      </c>
      <c r="C231" s="192"/>
      <c r="D231" s="192"/>
      <c r="E231" s="192"/>
      <c r="F231" s="192"/>
    </row>
    <row r="235">
      <c r="A235" s="136"/>
      <c r="B235" s="136" t="s">
        <v>389</v>
      </c>
    </row>
    <row r="237">
      <c r="A237" s="194"/>
      <c r="B237" s="194" t="s">
        <v>390</v>
      </c>
      <c r="E237" s="195">
        <v>3.89</v>
      </c>
    </row>
    <row r="238">
      <c r="A238" s="194"/>
      <c r="B238" s="194"/>
      <c r="E238" s="80"/>
    </row>
    <row r="239">
      <c r="A239" s="196"/>
      <c r="B239" s="196" t="s">
        <v>391</v>
      </c>
      <c r="E239" s="197">
        <v>1.0</v>
      </c>
      <c r="F239" s="43" t="s">
        <v>148</v>
      </c>
    </row>
    <row r="241">
      <c r="A241" s="136"/>
      <c r="B241" s="136"/>
    </row>
    <row r="246">
      <c r="A246" s="136"/>
      <c r="B246" s="136" t="s">
        <v>392</v>
      </c>
    </row>
    <row r="248">
      <c r="B248" s="4" t="s">
        <v>393</v>
      </c>
      <c r="C248" s="21" t="s">
        <v>33</v>
      </c>
    </row>
    <row r="249">
      <c r="A249" s="192"/>
      <c r="B249" s="192" t="s">
        <v>394</v>
      </c>
    </row>
    <row r="251">
      <c r="A251" s="12"/>
      <c r="B251" s="12" t="s">
        <v>395</v>
      </c>
      <c r="C251" s="198" t="s">
        <v>396</v>
      </c>
    </row>
    <row r="253">
      <c r="A253" s="12"/>
      <c r="B253" s="12" t="s">
        <v>397</v>
      </c>
      <c r="C253" s="21" t="s">
        <v>33</v>
      </c>
    </row>
    <row r="255" ht="31.5" customHeight="1">
      <c r="A255" s="2"/>
      <c r="B255" s="2" t="s">
        <v>398</v>
      </c>
      <c r="C255" s="29" t="s">
        <v>399</v>
      </c>
    </row>
    <row r="257">
      <c r="A257" s="5"/>
      <c r="B257" s="5" t="s">
        <v>400</v>
      </c>
      <c r="C257" s="29" t="s">
        <v>33</v>
      </c>
    </row>
    <row r="260">
      <c r="A260" s="136"/>
      <c r="B260" s="136" t="s">
        <v>401</v>
      </c>
    </row>
    <row r="262">
      <c r="B262" s="4" t="s">
        <v>402</v>
      </c>
      <c r="C262" s="21" t="s">
        <v>33</v>
      </c>
    </row>
    <row r="264">
      <c r="B264" s="4" t="s">
        <v>403</v>
      </c>
    </row>
    <row r="265">
      <c r="A265" s="26"/>
      <c r="B265" s="26" t="s">
        <v>404</v>
      </c>
    </row>
    <row r="267">
      <c r="A267" s="89"/>
      <c r="B267" s="89" t="s">
        <v>405</v>
      </c>
      <c r="C267" s="199">
        <v>45626.0</v>
      </c>
    </row>
    <row r="268">
      <c r="A268" s="89"/>
      <c r="B268" s="89" t="s">
        <v>406</v>
      </c>
      <c r="C268" s="199"/>
    </row>
    <row r="271">
      <c r="A271" s="136"/>
      <c r="B271" s="136" t="s">
        <v>407</v>
      </c>
    </row>
    <row r="273">
      <c r="B273" s="4" t="s">
        <v>408</v>
      </c>
      <c r="C273" s="21" t="s">
        <v>33</v>
      </c>
    </row>
    <row r="275">
      <c r="A275" s="136"/>
      <c r="B275" s="136" t="s">
        <v>409</v>
      </c>
    </row>
    <row r="277">
      <c r="B277" s="4" t="s">
        <v>410</v>
      </c>
      <c r="D277" s="29" t="s">
        <v>224</v>
      </c>
    </row>
    <row r="279">
      <c r="B279" s="4" t="s">
        <v>411</v>
      </c>
      <c r="D279" s="200"/>
    </row>
    <row r="281">
      <c r="B281" s="4" t="s">
        <v>412</v>
      </c>
      <c r="E281" s="200">
        <v>45382.0</v>
      </c>
    </row>
    <row r="283">
      <c r="A283" s="136"/>
      <c r="B283" s="136" t="s">
        <v>413</v>
      </c>
    </row>
    <row r="285">
      <c r="B285" s="4" t="s">
        <v>414</v>
      </c>
    </row>
    <row r="287">
      <c r="A287" s="201"/>
      <c r="B287" s="202" t="s">
        <v>415</v>
      </c>
    </row>
    <row r="289" ht="33.75" customHeight="1">
      <c r="A289" s="203"/>
      <c r="B289" s="203" t="s">
        <v>416</v>
      </c>
      <c r="D289" s="14"/>
      <c r="E289" s="162">
        <v>1.0</v>
      </c>
      <c r="F289" s="4" t="s">
        <v>417</v>
      </c>
    </row>
    <row r="290">
      <c r="A290" s="159"/>
      <c r="B290" s="204" t="s">
        <v>418</v>
      </c>
      <c r="D290" s="14"/>
      <c r="E290" s="200"/>
    </row>
    <row r="291">
      <c r="C291" s="22"/>
    </row>
    <row r="292">
      <c r="B292" s="4" t="s">
        <v>419</v>
      </c>
      <c r="C292" s="22"/>
    </row>
    <row r="293">
      <c r="C293" s="22"/>
    </row>
    <row r="294" ht="141.0" customHeight="1">
      <c r="A294" s="2"/>
      <c r="B294" s="37"/>
      <c r="C294" s="22"/>
    </row>
    <row r="295">
      <c r="C295" s="22"/>
    </row>
    <row r="296">
      <c r="C296" s="22"/>
    </row>
    <row r="297">
      <c r="C297" s="22"/>
    </row>
    <row r="298">
      <c r="C298" s="22" t="s">
        <v>420</v>
      </c>
      <c r="D298" s="4" t="s">
        <v>421</v>
      </c>
    </row>
    <row r="299">
      <c r="B299" s="4" t="s">
        <v>422</v>
      </c>
      <c r="C299" s="199">
        <v>45414.0</v>
      </c>
      <c r="D299" s="205" t="s">
        <v>423</v>
      </c>
    </row>
    <row r="300">
      <c r="C300" s="22"/>
    </row>
    <row r="301">
      <c r="B301" s="4" t="s">
        <v>424</v>
      </c>
      <c r="C301" s="206">
        <v>300.0</v>
      </c>
    </row>
    <row r="302">
      <c r="C302" s="22"/>
    </row>
    <row r="303">
      <c r="B303" s="4" t="s">
        <v>425</v>
      </c>
      <c r="C303" s="21" t="s">
        <v>426</v>
      </c>
    </row>
    <row r="306">
      <c r="A306" s="136"/>
      <c r="B306" s="136" t="s">
        <v>427</v>
      </c>
    </row>
    <row r="308">
      <c r="B308" s="4" t="s">
        <v>428</v>
      </c>
      <c r="D308" s="21" t="s">
        <v>33</v>
      </c>
    </row>
    <row r="310">
      <c r="B310" s="4" t="s">
        <v>429</v>
      </c>
      <c r="C310" s="2"/>
    </row>
    <row r="311">
      <c r="C311" s="2"/>
    </row>
    <row r="312">
      <c r="A312" s="207"/>
      <c r="B312" s="208" t="s">
        <v>430</v>
      </c>
    </row>
    <row r="313">
      <c r="A313" s="2"/>
      <c r="B313" s="2"/>
    </row>
    <row r="314">
      <c r="A314" s="136"/>
      <c r="B314" s="136" t="s">
        <v>431</v>
      </c>
    </row>
    <row r="316" ht="31.5" customHeight="1">
      <c r="A316" s="2"/>
      <c r="B316" s="2" t="s">
        <v>432</v>
      </c>
      <c r="D316" s="29" t="s">
        <v>224</v>
      </c>
    </row>
    <row r="319">
      <c r="A319" s="209"/>
      <c r="B319" s="209" t="s">
        <v>433</v>
      </c>
    </row>
    <row r="321">
      <c r="A321" s="136"/>
      <c r="B321" s="136" t="s">
        <v>434</v>
      </c>
    </row>
    <row r="323" ht="15.75" customHeight="1">
      <c r="A323" s="95"/>
      <c r="B323" s="95" t="s">
        <v>435</v>
      </c>
    </row>
    <row r="324">
      <c r="A324" s="95"/>
      <c r="D324" s="210" t="s">
        <v>224</v>
      </c>
      <c r="E324" s="211" t="s">
        <v>148</v>
      </c>
    </row>
    <row r="325">
      <c r="A325" s="95"/>
    </row>
    <row r="326">
      <c r="A326" s="95"/>
    </row>
    <row r="328">
      <c r="A328" s="158"/>
      <c r="B328" s="158" t="s">
        <v>436</v>
      </c>
    </row>
    <row r="329">
      <c r="A329" s="89"/>
      <c r="B329" s="89" t="s">
        <v>437</v>
      </c>
      <c r="C329" s="199"/>
    </row>
    <row r="330">
      <c r="A330" s="89"/>
      <c r="B330" s="89" t="s">
        <v>438</v>
      </c>
      <c r="C330" s="199"/>
    </row>
    <row r="331">
      <c r="A331" s="89"/>
      <c r="B331" s="89"/>
      <c r="C331" s="212"/>
    </row>
    <row r="332">
      <c r="A332" s="89"/>
      <c r="B332" s="89" t="s">
        <v>439</v>
      </c>
      <c r="C332" s="199"/>
    </row>
    <row r="333">
      <c r="A333" s="89"/>
      <c r="B333" s="89" t="s">
        <v>440</v>
      </c>
      <c r="C333" s="199"/>
    </row>
    <row r="335">
      <c r="A335" s="158"/>
      <c r="B335" s="158" t="s">
        <v>441</v>
      </c>
    </row>
    <row r="336">
      <c r="A336" s="89"/>
      <c r="B336" s="89" t="s">
        <v>442</v>
      </c>
      <c r="C336" s="160"/>
    </row>
    <row r="337">
      <c r="A337" s="89"/>
      <c r="B337" s="89" t="s">
        <v>443</v>
      </c>
      <c r="C337" s="160"/>
    </row>
    <row r="338">
      <c r="A338" s="89"/>
      <c r="B338" s="89"/>
      <c r="C338" s="213"/>
    </row>
    <row r="339" ht="15.75" customHeight="1">
      <c r="A339" s="89"/>
      <c r="B339" s="89" t="s">
        <v>444</v>
      </c>
      <c r="C339" s="23"/>
      <c r="D339" s="23"/>
      <c r="E339" s="23"/>
      <c r="F339" s="23"/>
    </row>
    <row r="340" ht="67.5" customHeight="1">
      <c r="A340" s="2"/>
      <c r="B340" s="37"/>
      <c r="C340" s="23"/>
      <c r="D340" s="23"/>
      <c r="E340" s="23"/>
      <c r="F340" s="23"/>
    </row>
    <row r="341" ht="30.75" customHeight="1">
      <c r="A341" s="2"/>
      <c r="B341" s="2"/>
      <c r="C341" s="23"/>
      <c r="D341" s="23"/>
      <c r="E341" s="23"/>
      <c r="F341" s="23"/>
    </row>
    <row r="342">
      <c r="A342" s="136"/>
      <c r="B342" s="136" t="s">
        <v>445</v>
      </c>
    </row>
    <row r="344">
      <c r="A344" s="2"/>
      <c r="B344" s="2" t="s">
        <v>446</v>
      </c>
    </row>
    <row r="345">
      <c r="A345" s="2"/>
      <c r="D345" s="214" t="s">
        <v>224</v>
      </c>
      <c r="E345" s="211" t="s">
        <v>148</v>
      </c>
    </row>
    <row r="346">
      <c r="A346" s="2"/>
    </row>
    <row r="348">
      <c r="A348" s="158"/>
      <c r="B348" s="158" t="s">
        <v>447</v>
      </c>
    </row>
    <row r="349">
      <c r="A349" s="12"/>
      <c r="B349" s="12" t="s">
        <v>448</v>
      </c>
      <c r="C349" s="199"/>
    </row>
    <row r="350">
      <c r="A350" s="12"/>
      <c r="B350" s="12" t="s">
        <v>449</v>
      </c>
      <c r="C350" s="199"/>
    </row>
    <row r="352">
      <c r="A352" s="2"/>
      <c r="B352" s="2" t="s">
        <v>450</v>
      </c>
    </row>
    <row r="353">
      <c r="A353" s="2"/>
      <c r="C353" s="21"/>
    </row>
    <row r="355">
      <c r="A355" s="158"/>
      <c r="B355" s="158" t="s">
        <v>441</v>
      </c>
    </row>
    <row r="356">
      <c r="A356" s="89"/>
      <c r="B356" s="89" t="s">
        <v>451</v>
      </c>
      <c r="C356" s="160"/>
    </row>
    <row r="357">
      <c r="A357" s="89"/>
      <c r="B357" s="89" t="s">
        <v>452</v>
      </c>
      <c r="C357" s="160"/>
    </row>
    <row r="358">
      <c r="A358" s="89"/>
      <c r="B358" s="89" t="s">
        <v>453</v>
      </c>
      <c r="C358" s="134"/>
    </row>
    <row r="365">
      <c r="A365" s="215"/>
      <c r="B365" s="45" t="s">
        <v>454</v>
      </c>
      <c r="C365" s="9"/>
      <c r="D365" s="9"/>
      <c r="E365" s="9"/>
      <c r="F365" s="10"/>
    </row>
  </sheetData>
  <mergeCells count="27">
    <mergeCell ref="B1:F1"/>
    <mergeCell ref="B3:F3"/>
    <mergeCell ref="B52:F52"/>
    <mergeCell ref="B57:F57"/>
    <mergeCell ref="B79:D79"/>
    <mergeCell ref="B87:F88"/>
    <mergeCell ref="B115:D115"/>
    <mergeCell ref="B130:F130"/>
    <mergeCell ref="B146:F146"/>
    <mergeCell ref="B147:F147"/>
    <mergeCell ref="B148:F148"/>
    <mergeCell ref="B150:F150"/>
    <mergeCell ref="B156:F156"/>
    <mergeCell ref="B198:F198"/>
    <mergeCell ref="B290:D290"/>
    <mergeCell ref="B316:C316"/>
    <mergeCell ref="B323:C326"/>
    <mergeCell ref="B344:C346"/>
    <mergeCell ref="B352:B353"/>
    <mergeCell ref="B365:F365"/>
    <mergeCell ref="E203:F204"/>
    <mergeCell ref="B212:F212"/>
    <mergeCell ref="B213:F213"/>
    <mergeCell ref="B214:F214"/>
    <mergeCell ref="F216:F227"/>
    <mergeCell ref="B229:E230"/>
    <mergeCell ref="B289:D289"/>
  </mergeCells>
  <conditionalFormatting sqref="C185">
    <cfRule type="cellIs" dxfId="0" priority="1" operator="greaterThan">
      <formula>1</formula>
    </cfRule>
  </conditionalFormatting>
  <conditionalFormatting sqref="C201:C206">
    <cfRule type="cellIs" dxfId="0" priority="2" operator="greaterThan">
      <formula>1</formula>
    </cfRule>
  </conditionalFormatting>
  <conditionalFormatting sqref="C176:D176">
    <cfRule type="cellIs" dxfId="0" priority="3" operator="greaterThan">
      <formula>1</formula>
    </cfRule>
  </conditionalFormatting>
  <conditionalFormatting sqref="C227:E227">
    <cfRule type="cellIs" dxfId="0" priority="4" operator="greaterThan">
      <formula>1</formula>
    </cfRule>
  </conditionalFormatting>
  <conditionalFormatting sqref="C195:F195">
    <cfRule type="cellIs" dxfId="0" priority="5" operator="greaterThan">
      <formula>1</formula>
    </cfRule>
  </conditionalFormatting>
  <conditionalFormatting sqref="F185">
    <cfRule type="cellIs" dxfId="0" priority="6" operator="greaterThan">
      <formula>1</formula>
    </cfRule>
  </conditionalFormatting>
  <dataValidations>
    <dataValidation type="list" allowBlank="1" showErrorMessage="1" sqref="C28 C36:C38 E115 C125 C248 C253 C257 C262 C273 D277 D308 D316 D324 D345 C353">
      <formula1>validations!$A$1:$A$2</formula1>
    </dataValidation>
    <dataValidation type="decimal" allowBlank="1" showInputMessage="1" showErrorMessage="1" prompt="Invalid Score Range - Score must be between 0 - 36. " sqref="C162:E167">
      <formula1>0.0</formula1>
      <formula2>36.0</formula2>
    </dataValidation>
    <dataValidation type="decimal" allowBlank="1" showErrorMessage="1" sqref="C32:C34">
      <formula1>0.0</formula1>
      <formula2>1.0E10</formula2>
    </dataValidation>
    <dataValidation type="list" allowBlank="1" showErrorMessage="1" sqref="C303">
      <formula1>validations!$O$1:$O$3</formula1>
    </dataValidation>
    <dataValidation type="decimal" allowBlank="1" showErrorMessage="1" sqref="C59:D70">
      <formula1>0.0</formula1>
      <formula2>1000000.0</formula2>
    </dataValidation>
    <dataValidation type="list" allowBlank="1" showErrorMessage="1" sqref="A119:B119 A121:B121 A123:B123">
      <formula1>validations!$K$1:$K$5</formula1>
    </dataValidation>
    <dataValidation type="custom" allowBlank="1" showInputMessage="1" showErrorMessage="1" prompt="Incorrect Format - Cell must contain numeric value (percentage). " sqref="C189:F194">
      <formula1>ISNUMBER(C189:F194)</formula1>
    </dataValidation>
    <dataValidation type="decimal" allowBlank="1" showErrorMessage="1" sqref="C20:E22">
      <formula1>0.0</formula1>
      <formula2>1.0E11</formula2>
    </dataValidation>
    <dataValidation type="list" allowBlank="1" showErrorMessage="1" sqref="C255">
      <formula1>validations!$L$1:$L$3</formula1>
    </dataValidation>
    <dataValidation type="list" allowBlank="1" showErrorMessage="1" sqref="A45:B48">
      <formula1>validations!$G$1:$G$3</formula1>
    </dataValidation>
    <dataValidation type="list" allowBlank="1" showErrorMessage="1" sqref="A80:B80">
      <formula1>validations!$I$1:$I$4</formula1>
    </dataValidation>
    <dataValidation type="decimal" allowBlank="1" showInputMessage="1" showErrorMessage="1" prompt="Invalid Score Range - Score must be between 400 - 1600. " sqref="C159:E159">
      <formula1>400.0</formula1>
      <formula2>1600.0</formula2>
    </dataValidation>
    <dataValidation type="decimal" allowBlank="1" showInputMessage="1" showErrorMessage="1" prompt="Invalid Score Range - Score must be between 200 - 800. " sqref="C160:E161">
      <formula1>200.0</formula1>
      <formula2>800.0</formula2>
    </dataValidation>
    <dataValidation type="list" allowBlank="1" showErrorMessage="1" sqref="A53:B53">
      <formula1>validations!$H$1:$H$3</formula1>
    </dataValidation>
    <dataValidation type="list" allowBlank="1" showErrorMessage="1" sqref="C91:C96 C98:C109">
      <formula1>validations!$J$1:$J$4</formula1>
    </dataValidation>
    <dataValidation type="decimal" allowBlank="1" showErrorMessage="1" sqref="E289">
      <formula1>0.0</formula1>
      <formula2>50.0</formula2>
    </dataValidation>
    <dataValidation type="list" allowBlank="1" showErrorMessage="1" sqref="A287:B287">
      <formula1>validations!$N$1:$N$3</formula1>
    </dataValidation>
  </dataValidations>
  <printOptions/>
  <pageMargins bottom="0.75" footer="0.0" header="0.0" left="0.7" right="0.7" top="0.75"/>
  <pageSetup orientation="landscape"/>
  <headerFooter>
    <oddHeader>&amp;C  </oddHeader>
    <oddFooter>&amp;C       </oddFooter>
  </headerFooter>
  <rowBreaks count="3" manualBreakCount="3">
    <brk id="320" man="1"/>
    <brk id="341" man="1"/>
    <brk id="143"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0"/>
    <col customWidth="1" min="2" max="2" width="15.0"/>
    <col customWidth="1" min="3" max="4" width="11.44"/>
    <col customWidth="1" min="5" max="5" width="11.56"/>
    <col customWidth="1" min="6" max="6" width="37.11"/>
    <col customWidth="1" min="7" max="7" width="10.11"/>
    <col customWidth="1" min="8" max="9" width="10.89"/>
    <col customWidth="1" min="10" max="26" width="11.0"/>
  </cols>
  <sheetData>
    <row r="1">
      <c r="A1" s="8" t="s">
        <v>455</v>
      </c>
      <c r="B1" s="9"/>
      <c r="C1" s="9"/>
      <c r="D1" s="9"/>
      <c r="E1" s="9"/>
      <c r="F1" s="9"/>
      <c r="G1" s="10"/>
      <c r="H1" s="11"/>
    </row>
    <row r="2"/>
    <row r="3">
      <c r="A3" s="11" t="s">
        <v>456</v>
      </c>
    </row>
    <row r="4" ht="15.75" customHeight="1">
      <c r="F4" s="216" t="s">
        <v>457</v>
      </c>
      <c r="H4" s="217"/>
    </row>
    <row r="5">
      <c r="A5" s="4" t="s">
        <v>458</v>
      </c>
      <c r="E5" s="29" t="s">
        <v>33</v>
      </c>
      <c r="H5" s="217"/>
      <c r="I5" s="218"/>
    </row>
    <row r="6"/>
    <row r="7" ht="39.75" customHeight="1">
      <c r="A7" s="2" t="s">
        <v>459</v>
      </c>
      <c r="G7" s="29" t="s">
        <v>33</v>
      </c>
      <c r="I7" s="23"/>
    </row>
    <row r="8">
      <c r="A8" s="23"/>
      <c r="B8" s="23"/>
      <c r="C8" s="23"/>
      <c r="D8" s="23"/>
      <c r="E8" s="23"/>
      <c r="F8" s="23"/>
      <c r="G8" s="23"/>
      <c r="H8" s="23"/>
      <c r="I8" s="23"/>
    </row>
    <row r="9">
      <c r="A9" s="11" t="s">
        <v>460</v>
      </c>
    </row>
    <row r="10"/>
    <row r="11" ht="39.0" customHeight="1">
      <c r="A11" s="2" t="s">
        <v>461</v>
      </c>
      <c r="H11" s="23"/>
      <c r="I11" s="23"/>
    </row>
    <row r="12" ht="39.0" customHeight="1">
      <c r="A12" s="2"/>
      <c r="B12" s="2"/>
      <c r="C12" s="73" t="s">
        <v>462</v>
      </c>
      <c r="D12" s="73" t="s">
        <v>463</v>
      </c>
      <c r="E12" s="73" t="s">
        <v>464</v>
      </c>
      <c r="F12" s="2"/>
      <c r="G12" s="2"/>
      <c r="H12" s="2"/>
      <c r="I12" s="2"/>
    </row>
    <row r="13">
      <c r="B13" s="89" t="s">
        <v>95</v>
      </c>
      <c r="C13" s="219">
        <v>9757.0</v>
      </c>
      <c r="D13" s="219">
        <v>2293.0</v>
      </c>
      <c r="E13" s="134">
        <v>1336.0</v>
      </c>
      <c r="F13" s="150" t="s">
        <v>465</v>
      </c>
      <c r="G13" s="150"/>
    </row>
    <row r="14">
      <c r="B14" s="89" t="s">
        <v>96</v>
      </c>
      <c r="C14" s="219">
        <v>8569.0</v>
      </c>
      <c r="D14" s="219">
        <v>2552.0</v>
      </c>
      <c r="E14" s="134">
        <v>1277.0</v>
      </c>
      <c r="F14" s="150" t="s">
        <v>466</v>
      </c>
      <c r="G14" s="150"/>
    </row>
    <row r="15">
      <c r="B15" s="89" t="s">
        <v>97</v>
      </c>
      <c r="C15" s="210">
        <v>528.0</v>
      </c>
      <c r="D15" s="29">
        <v>187.0</v>
      </c>
      <c r="E15" s="29">
        <v>101.0</v>
      </c>
      <c r="F15" s="150" t="s">
        <v>467</v>
      </c>
      <c r="G15" s="150"/>
    </row>
    <row r="16">
      <c r="B16" s="89" t="s">
        <v>141</v>
      </c>
      <c r="C16" s="220">
        <v>19334.0</v>
      </c>
      <c r="D16" s="220">
        <v>5172.0</v>
      </c>
      <c r="E16" s="221">
        <v>2777.0</v>
      </c>
      <c r="F16" s="222" t="s">
        <v>468</v>
      </c>
    </row>
    <row r="17">
      <c r="C17" s="131" t="s">
        <v>148</v>
      </c>
      <c r="E17" s="223"/>
    </row>
    <row r="18"/>
    <row r="19">
      <c r="A19" s="11" t="s">
        <v>469</v>
      </c>
    </row>
    <row r="20"/>
    <row r="21">
      <c r="A21" s="4" t="s">
        <v>470</v>
      </c>
    </row>
    <row r="29">
      <c r="A29" s="11" t="s">
        <v>471</v>
      </c>
    </row>
    <row r="31" ht="34.5" customHeight="1">
      <c r="A31" s="2" t="s">
        <v>472</v>
      </c>
      <c r="G31" s="29" t="s">
        <v>33</v>
      </c>
    </row>
    <row r="33">
      <c r="A33" s="4" t="s">
        <v>473</v>
      </c>
      <c r="G33" s="80"/>
      <c r="H33" s="80"/>
    </row>
    <row r="34" ht="24.0" customHeight="1">
      <c r="B34" s="167" t="s">
        <v>474</v>
      </c>
      <c r="C34" s="195">
        <v>60.0</v>
      </c>
      <c r="E34" s="164" t="s">
        <v>475</v>
      </c>
      <c r="F34" s="29" t="s">
        <v>476</v>
      </c>
      <c r="G34" s="74"/>
    </row>
    <row r="35">
      <c r="C35" s="150" t="s">
        <v>477</v>
      </c>
    </row>
    <row r="36">
      <c r="A36" s="11" t="s">
        <v>478</v>
      </c>
    </row>
    <row r="38">
      <c r="A38" s="4" t="s">
        <v>479</v>
      </c>
    </row>
    <row r="39">
      <c r="B39" s="26" t="s">
        <v>480</v>
      </c>
    </row>
    <row r="41">
      <c r="A41" s="89" t="s">
        <v>481</v>
      </c>
      <c r="F41" s="29" t="s">
        <v>482</v>
      </c>
    </row>
    <row r="42">
      <c r="A42" s="89" t="s">
        <v>483</v>
      </c>
      <c r="F42" s="29" t="s">
        <v>484</v>
      </c>
    </row>
    <row r="43">
      <c r="A43" s="89" t="s">
        <v>485</v>
      </c>
      <c r="F43" s="29" t="s">
        <v>484</v>
      </c>
    </row>
    <row r="44">
      <c r="A44" s="89" t="s">
        <v>270</v>
      </c>
      <c r="F44" s="29" t="s">
        <v>486</v>
      </c>
    </row>
    <row r="45">
      <c r="A45" s="89" t="s">
        <v>487</v>
      </c>
      <c r="F45" s="29" t="s">
        <v>482</v>
      </c>
    </row>
    <row r="46">
      <c r="A46" s="89" t="s">
        <v>488</v>
      </c>
      <c r="F46" s="29" t="s">
        <v>486</v>
      </c>
    </row>
    <row r="49">
      <c r="A49" s="11" t="s">
        <v>489</v>
      </c>
    </row>
    <row r="50">
      <c r="A50" s="4" t="s">
        <v>490</v>
      </c>
    </row>
    <row r="52">
      <c r="B52" s="89" t="s">
        <v>491</v>
      </c>
      <c r="E52" s="195" t="s">
        <v>492</v>
      </c>
    </row>
    <row r="54">
      <c r="A54" s="11" t="s">
        <v>493</v>
      </c>
    </row>
    <row r="55">
      <c r="A55" s="4" t="s">
        <v>494</v>
      </c>
    </row>
    <row r="57">
      <c r="B57" s="89" t="s">
        <v>491</v>
      </c>
      <c r="E57" s="195">
        <v>2.4</v>
      </c>
    </row>
    <row r="58">
      <c r="A58" s="11" t="s">
        <v>495</v>
      </c>
    </row>
    <row r="59" ht="114.75" customHeight="1">
      <c r="F59" s="148" t="s">
        <v>496</v>
      </c>
    </row>
    <row r="61">
      <c r="A61" s="11" t="s">
        <v>497</v>
      </c>
    </row>
    <row r="62" ht="24.0" customHeight="1">
      <c r="A62" s="2" t="s">
        <v>498</v>
      </c>
      <c r="G62" s="23"/>
      <c r="H62" s="23"/>
    </row>
    <row r="63" ht="24.0" customHeight="1">
      <c r="G63" s="23"/>
      <c r="H63" s="23"/>
    </row>
    <row r="65">
      <c r="B65" s="73" t="s">
        <v>406</v>
      </c>
      <c r="C65" s="73" t="s">
        <v>499</v>
      </c>
      <c r="D65" s="73" t="s">
        <v>500</v>
      </c>
      <c r="E65" s="73" t="s">
        <v>501</v>
      </c>
      <c r="F65" s="73" t="s">
        <v>502</v>
      </c>
    </row>
    <row r="66">
      <c r="A66" s="119" t="s">
        <v>503</v>
      </c>
      <c r="B66" s="199"/>
      <c r="C66" s="199">
        <v>45626.0</v>
      </c>
      <c r="D66" s="199">
        <v>45412.0</v>
      </c>
      <c r="E66" s="199">
        <v>45444.0</v>
      </c>
    </row>
    <row r="67">
      <c r="A67" s="119" t="s">
        <v>504</v>
      </c>
      <c r="B67" s="199"/>
      <c r="C67" s="199"/>
      <c r="D67" s="199"/>
      <c r="E67" s="199"/>
    </row>
    <row r="68">
      <c r="A68" s="119" t="s">
        <v>505</v>
      </c>
      <c r="B68" s="199"/>
      <c r="C68" s="199"/>
      <c r="D68" s="199"/>
      <c r="E68" s="199"/>
    </row>
    <row r="69">
      <c r="A69" s="119" t="s">
        <v>506</v>
      </c>
      <c r="B69" s="199"/>
      <c r="C69" s="199"/>
      <c r="D69" s="199"/>
      <c r="E69" s="199"/>
    </row>
    <row r="75">
      <c r="A75" s="11" t="s">
        <v>507</v>
      </c>
    </row>
    <row r="77" ht="39.75" customHeight="1">
      <c r="A77" s="2" t="s">
        <v>508</v>
      </c>
      <c r="E77" s="13" t="s">
        <v>224</v>
      </c>
      <c r="I77" s="4"/>
    </row>
    <row r="78">
      <c r="A78" s="11" t="s">
        <v>509</v>
      </c>
    </row>
    <row r="79">
      <c r="A79" s="4" t="s">
        <v>510</v>
      </c>
    </row>
    <row r="80" ht="66.0" customHeight="1">
      <c r="F80" s="37" t="s">
        <v>511</v>
      </c>
    </row>
    <row r="81">
      <c r="A81" s="11" t="s">
        <v>512</v>
      </c>
    </row>
    <row r="82">
      <c r="A82" s="4" t="s">
        <v>513</v>
      </c>
    </row>
    <row r="84">
      <c r="B84" s="4" t="s">
        <v>514</v>
      </c>
      <c r="C84" s="29" t="s">
        <v>515</v>
      </c>
    </row>
    <row r="86">
      <c r="A86" s="11" t="s">
        <v>516</v>
      </c>
    </row>
    <row r="87">
      <c r="A87" s="4" t="s">
        <v>517</v>
      </c>
    </row>
    <row r="89">
      <c r="A89" s="4" t="s">
        <v>518</v>
      </c>
      <c r="B89" s="195">
        <v>70.0</v>
      </c>
      <c r="C89" s="4" t="s">
        <v>519</v>
      </c>
      <c r="D89" s="29" t="s">
        <v>476</v>
      </c>
    </row>
    <row r="90">
      <c r="B90" s="150" t="s">
        <v>520</v>
      </c>
    </row>
    <row r="91">
      <c r="A91" s="11" t="s">
        <v>521</v>
      </c>
    </row>
    <row r="92">
      <c r="A92" s="4" t="s">
        <v>522</v>
      </c>
    </row>
    <row r="94">
      <c r="A94" s="4" t="s">
        <v>518</v>
      </c>
      <c r="B94" s="195">
        <v>80.0</v>
      </c>
      <c r="C94" s="4" t="s">
        <v>519</v>
      </c>
      <c r="D94" s="29" t="s">
        <v>476</v>
      </c>
    </row>
    <row r="95">
      <c r="B95" s="150" t="s">
        <v>520</v>
      </c>
    </row>
    <row r="96">
      <c r="A96" s="11" t="s">
        <v>523</v>
      </c>
    </row>
    <row r="97">
      <c r="A97" s="4" t="s">
        <v>524</v>
      </c>
    </row>
    <row r="99">
      <c r="A99" s="4" t="s">
        <v>518</v>
      </c>
      <c r="B99" s="195" t="s">
        <v>492</v>
      </c>
    </row>
    <row r="101">
      <c r="A101" s="11" t="s">
        <v>525</v>
      </c>
    </row>
    <row r="102">
      <c r="A102" s="4" t="s">
        <v>526</v>
      </c>
    </row>
    <row r="104">
      <c r="A104" s="4" t="s">
        <v>518</v>
      </c>
      <c r="B104" s="195">
        <v>60.0</v>
      </c>
    </row>
    <row r="105">
      <c r="F105" s="2"/>
    </row>
    <row r="106">
      <c r="F106" s="2"/>
    </row>
    <row r="107">
      <c r="A107" s="11" t="s">
        <v>527</v>
      </c>
      <c r="F107" s="2"/>
    </row>
    <row r="108">
      <c r="A108" s="4" t="s">
        <v>528</v>
      </c>
      <c r="F108" s="2"/>
    </row>
    <row r="109" ht="78.0" customHeight="1">
      <c r="F109" s="37" t="s">
        <v>529</v>
      </c>
    </row>
    <row r="110">
      <c r="A110" s="11" t="s">
        <v>530</v>
      </c>
    </row>
    <row r="111">
      <c r="A111" s="4" t="s">
        <v>531</v>
      </c>
    </row>
    <row r="116">
      <c r="F116" s="41"/>
    </row>
    <row r="117">
      <c r="A117" s="11" t="s">
        <v>532</v>
      </c>
    </row>
    <row r="118">
      <c r="A118" s="2" t="s">
        <v>533</v>
      </c>
    </row>
    <row r="119" ht="19.5" customHeight="1"/>
    <row r="120">
      <c r="B120" s="89" t="s">
        <v>518</v>
      </c>
      <c r="C120" s="195"/>
      <c r="D120" s="89" t="s">
        <v>519</v>
      </c>
      <c r="E120" s="29"/>
    </row>
    <row r="122">
      <c r="A122" s="11" t="s">
        <v>534</v>
      </c>
    </row>
    <row r="123">
      <c r="A123" s="2" t="s">
        <v>535</v>
      </c>
    </row>
    <row r="124" ht="34.5" customHeight="1"/>
    <row r="125">
      <c r="B125" s="89" t="s">
        <v>518</v>
      </c>
      <c r="C125" s="195"/>
      <c r="D125" s="89" t="s">
        <v>519</v>
      </c>
      <c r="E125" s="29"/>
    </row>
    <row r="127">
      <c r="A127" s="11" t="s">
        <v>536</v>
      </c>
    </row>
    <row r="128" ht="15.75" customHeight="1">
      <c r="A128" s="2" t="s">
        <v>537</v>
      </c>
      <c r="F128" s="29" t="s">
        <v>33</v>
      </c>
    </row>
    <row r="129" ht="15.75" customHeight="1">
      <c r="G129" s="4"/>
    </row>
    <row r="130">
      <c r="A130" s="122"/>
      <c r="B130" s="122"/>
      <c r="C130" s="122"/>
      <c r="D130" s="122"/>
      <c r="E130" s="122"/>
    </row>
    <row r="131">
      <c r="A131" s="4" t="s">
        <v>538</v>
      </c>
      <c r="F131" s="224" t="s">
        <v>539</v>
      </c>
    </row>
    <row r="132" ht="27.75" customHeight="1"/>
    <row r="133">
      <c r="A133" s="11" t="s">
        <v>540</v>
      </c>
    </row>
    <row r="134" ht="27.0" customHeight="1">
      <c r="A134" s="4" t="s">
        <v>541</v>
      </c>
    </row>
    <row r="135" ht="205.5" customHeight="1">
      <c r="F135" s="37"/>
    </row>
    <row r="136">
      <c r="F136" s="2"/>
    </row>
    <row r="137">
      <c r="A137" s="45" t="s">
        <v>542</v>
      </c>
      <c r="B137" s="9"/>
      <c r="C137" s="9"/>
      <c r="D137" s="9"/>
      <c r="E137" s="9"/>
      <c r="F137" s="9"/>
      <c r="G137" s="10"/>
      <c r="H137" s="11"/>
    </row>
  </sheetData>
  <mergeCells count="21">
    <mergeCell ref="A1:G1"/>
    <mergeCell ref="F4:G5"/>
    <mergeCell ref="A7:F7"/>
    <mergeCell ref="A11:G11"/>
    <mergeCell ref="F16:G17"/>
    <mergeCell ref="E17:E18"/>
    <mergeCell ref="A31:F31"/>
    <mergeCell ref="B57:D57"/>
    <mergeCell ref="A62:F63"/>
    <mergeCell ref="A77:D77"/>
    <mergeCell ref="A118:G119"/>
    <mergeCell ref="A123:G124"/>
    <mergeCell ref="A128:E129"/>
    <mergeCell ref="A137:G137"/>
    <mergeCell ref="A41:D41"/>
    <mergeCell ref="A42:D42"/>
    <mergeCell ref="A43:D43"/>
    <mergeCell ref="A44:D44"/>
    <mergeCell ref="A45:D45"/>
    <mergeCell ref="A46:D46"/>
    <mergeCell ref="B52:D52"/>
  </mergeCells>
  <dataValidations>
    <dataValidation type="list" allowBlank="1" showErrorMessage="1" sqref="E5 G7 G31 E77 F128">
      <formula1>validations!$A$1:$A$2</formula1>
    </dataValidation>
    <dataValidation type="decimal" allowBlank="1" showErrorMessage="1" sqref="C13 E13 C14:E15">
      <formula1>0.0</formula1>
      <formula2>1.0E13</formula2>
    </dataValidation>
    <dataValidation type="list" allowBlank="1" showErrorMessage="1" sqref="F41:F46">
      <formula1>validations!$Q$1:$Q$5</formula1>
    </dataValidation>
    <dataValidation type="list" allowBlank="1" showErrorMessage="1" sqref="I77">
      <formula1>$I$75:$I$76</formula1>
    </dataValidation>
    <dataValidation type="list" allowBlank="1" showErrorMessage="1" sqref="G129">
      <formula1>$I$128:$I$130</formula1>
    </dataValidation>
    <dataValidation type="list" allowBlank="1" showErrorMessage="1" sqref="F34 D89 D94 E120 E125">
      <formula1>validations!$P$1:$P$2</formula1>
    </dataValidation>
  </dataValidations>
  <hyperlinks>
    <hyperlink r:id="rId1" ref="F131"/>
  </hyperlinks>
  <printOptions/>
  <pageMargins bottom="0.75" footer="0.0" header="0.0" left="0.7" right="0.7" top="0.75"/>
  <pageSetup orientation="landscape"/>
  <headerFooter>
    <oddHeader>&amp;C  </oddHeader>
    <oddFooter>&amp;C    </oddFooter>
  </headerFooter>
  <rowBreaks count="3" manualBreakCount="3">
    <brk id="57" man="1"/>
    <brk id="77" man="1"/>
    <brk id="126" man="1"/>
  </rowBrea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7.22"/>
    <col customWidth="1" min="2" max="2" width="44.67"/>
    <col customWidth="1" min="3" max="3" width="6.44"/>
    <col customWidth="1" min="4" max="4" width="45.11"/>
    <col customWidth="1" min="5" max="26" width="11.0"/>
  </cols>
  <sheetData>
    <row r="1">
      <c r="A1" s="8" t="s">
        <v>543</v>
      </c>
      <c r="B1" s="9"/>
      <c r="C1" s="9"/>
      <c r="D1" s="10"/>
    </row>
    <row r="2"/>
    <row r="3">
      <c r="A3" s="11" t="s">
        <v>544</v>
      </c>
    </row>
    <row r="4"/>
    <row r="5">
      <c r="A5" s="225" t="s">
        <v>545</v>
      </c>
    </row>
    <row r="6"/>
    <row r="7">
      <c r="A7" s="155" t="b">
        <v>1</v>
      </c>
      <c r="B7" s="155" t="s">
        <v>546</v>
      </c>
      <c r="C7" s="155" t="b">
        <v>1</v>
      </c>
      <c r="D7" s="155" t="s">
        <v>547</v>
      </c>
    </row>
    <row r="8">
      <c r="A8" s="155" t="b">
        <v>1</v>
      </c>
      <c r="B8" s="226" t="s">
        <v>548</v>
      </c>
      <c r="C8" s="155" t="b">
        <v>1</v>
      </c>
      <c r="D8" s="155" t="s">
        <v>549</v>
      </c>
    </row>
    <row r="9">
      <c r="A9" s="155" t="b">
        <v>1</v>
      </c>
      <c r="B9" s="155" t="s">
        <v>550</v>
      </c>
      <c r="C9" s="155" t="b">
        <v>1</v>
      </c>
      <c r="D9" s="155" t="s">
        <v>551</v>
      </c>
    </row>
    <row r="10">
      <c r="A10" s="155" t="b">
        <v>1</v>
      </c>
      <c r="B10" s="155" t="s">
        <v>552</v>
      </c>
      <c r="C10" s="155" t="b">
        <v>0</v>
      </c>
      <c r="D10" s="155" t="s">
        <v>553</v>
      </c>
    </row>
    <row r="11">
      <c r="A11" s="155" t="b">
        <v>1</v>
      </c>
      <c r="B11" s="155" t="s">
        <v>554</v>
      </c>
      <c r="C11" s="155" t="b">
        <v>1</v>
      </c>
      <c r="D11" s="155" t="s">
        <v>555</v>
      </c>
    </row>
    <row r="12">
      <c r="A12" s="155" t="b">
        <v>1</v>
      </c>
      <c r="B12" s="155" t="s">
        <v>556</v>
      </c>
      <c r="C12" s="155" t="b">
        <v>1</v>
      </c>
      <c r="D12" s="155" t="s">
        <v>557</v>
      </c>
    </row>
    <row r="13">
      <c r="A13" s="155" t="b">
        <v>1</v>
      </c>
      <c r="B13" s="155" t="s">
        <v>558</v>
      </c>
      <c r="C13" s="155" t="b">
        <v>0</v>
      </c>
      <c r="D13" s="155" t="s">
        <v>559</v>
      </c>
    </row>
    <row r="14">
      <c r="A14" s="155" t="b">
        <v>1</v>
      </c>
      <c r="B14" s="155" t="s">
        <v>560</v>
      </c>
      <c r="C14" s="155" t="b">
        <v>1</v>
      </c>
      <c r="D14" s="155" t="s">
        <v>561</v>
      </c>
    </row>
    <row r="15">
      <c r="A15" s="4" t="b">
        <v>0</v>
      </c>
      <c r="B15" s="155" t="s">
        <v>562</v>
      </c>
      <c r="C15" s="155" t="b">
        <v>0</v>
      </c>
      <c r="D15" s="155" t="s">
        <v>563</v>
      </c>
    </row>
    <row r="16">
      <c r="C16" s="155" t="b">
        <v>0</v>
      </c>
      <c r="D16" s="155" t="s">
        <v>252</v>
      </c>
    </row>
    <row r="17" ht="27.0" customHeight="1"/>
    <row r="18" ht="72.0" customHeight="1">
      <c r="C18" s="227" t="s">
        <v>564</v>
      </c>
      <c r="D18" s="153"/>
    </row>
    <row r="19">
      <c r="A19" s="11"/>
    </row>
    <row r="20">
      <c r="A20" s="11" t="s">
        <v>565</v>
      </c>
    </row>
    <row r="22">
      <c r="A22" s="11" t="s">
        <v>566</v>
      </c>
    </row>
    <row r="23" ht="31.5" customHeight="1">
      <c r="A23" s="2" t="s">
        <v>567</v>
      </c>
    </row>
    <row r="24">
      <c r="A24" s="23"/>
      <c r="B24" s="23"/>
      <c r="C24" s="23"/>
      <c r="D24" s="23"/>
    </row>
    <row r="25">
      <c r="A25" s="155" t="b">
        <v>1</v>
      </c>
      <c r="B25" s="155" t="s">
        <v>568</v>
      </c>
      <c r="C25" s="4" t="b">
        <v>0</v>
      </c>
      <c r="D25" s="155" t="s">
        <v>569</v>
      </c>
    </row>
    <row r="26">
      <c r="A26" s="4" t="b">
        <v>0</v>
      </c>
      <c r="B26" s="155" t="s">
        <v>570</v>
      </c>
      <c r="C26" s="155" t="b">
        <v>1</v>
      </c>
      <c r="D26" s="155" t="s">
        <v>239</v>
      </c>
    </row>
    <row r="27">
      <c r="A27" s="155" t="b">
        <v>1</v>
      </c>
      <c r="B27" s="155" t="s">
        <v>571</v>
      </c>
      <c r="C27" s="155" t="b">
        <v>1</v>
      </c>
      <c r="D27" s="155" t="s">
        <v>572</v>
      </c>
    </row>
    <row r="28">
      <c r="A28" s="4" t="b">
        <v>0</v>
      </c>
      <c r="B28" s="155" t="s">
        <v>573</v>
      </c>
      <c r="C28" s="4" t="b">
        <v>0</v>
      </c>
      <c r="D28" s="155" t="s">
        <v>574</v>
      </c>
    </row>
    <row r="29">
      <c r="A29" s="155" t="b">
        <v>1</v>
      </c>
      <c r="B29" s="155" t="s">
        <v>244</v>
      </c>
      <c r="C29" s="155" t="b">
        <v>1</v>
      </c>
      <c r="D29" s="155" t="s">
        <v>575</v>
      </c>
    </row>
    <row r="30">
      <c r="A30" s="155" t="b">
        <v>1</v>
      </c>
      <c r="B30" s="155" t="s">
        <v>576</v>
      </c>
      <c r="C30" s="155" t="b">
        <v>1</v>
      </c>
      <c r="D30" s="155" t="s">
        <v>577</v>
      </c>
    </row>
    <row r="31">
      <c r="C31" s="155" t="b">
        <v>1</v>
      </c>
      <c r="D31" s="155" t="s">
        <v>252</v>
      </c>
    </row>
    <row r="33">
      <c r="D33" s="26" t="s">
        <v>578</v>
      </c>
    </row>
    <row r="34" ht="114.0" customHeight="1">
      <c r="D34" s="37" t="s">
        <v>579</v>
      </c>
    </row>
    <row r="39">
      <c r="A39" s="8" t="s">
        <v>580</v>
      </c>
      <c r="B39" s="9"/>
      <c r="C39" s="9"/>
      <c r="D39" s="10"/>
    </row>
  </sheetData>
  <mergeCells count="3">
    <mergeCell ref="A1:D1"/>
    <mergeCell ref="A23:D23"/>
    <mergeCell ref="A39:D39"/>
  </mergeCells>
  <printOptions/>
  <pageMargins bottom="0.75" footer="0.0" header="0.0" left="0.7" right="0.7" top="0.75"/>
  <pageSetup orientation="landscape"/>
  <headerFooter>
    <oddHeader>&amp;C  </oddHeader>
    <oddFooter>&amp;C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44"/>
    <col customWidth="1" min="2" max="2" width="35.33"/>
    <col customWidth="1" min="3" max="3" width="21.89"/>
    <col customWidth="1" min="4" max="4" width="21.44"/>
    <col customWidth="1" min="5" max="5" width="11.0"/>
    <col customWidth="1" min="6" max="6" width="38.44"/>
    <col customWidth="1" min="7" max="7" width="10.89"/>
    <col customWidth="1" min="8" max="27" width="11.0"/>
  </cols>
  <sheetData>
    <row r="1">
      <c r="A1" s="228"/>
      <c r="B1" s="229" t="s">
        <v>581</v>
      </c>
      <c r="C1" s="9"/>
      <c r="D1" s="9"/>
      <c r="E1" s="10"/>
      <c r="F1" s="11"/>
    </row>
    <row r="2"/>
    <row r="3">
      <c r="A3" s="11"/>
      <c r="B3" s="11" t="s">
        <v>582</v>
      </c>
    </row>
    <row r="4"/>
    <row r="5">
      <c r="A5" s="2"/>
      <c r="B5" s="2" t="s">
        <v>583</v>
      </c>
    </row>
    <row r="6">
      <c r="A6" s="2"/>
    </row>
    <row r="7"/>
    <row r="8">
      <c r="C8" s="53" t="s">
        <v>584</v>
      </c>
      <c r="D8" s="104" t="s">
        <v>585</v>
      </c>
    </row>
    <row r="9" ht="41.25" customHeight="1">
      <c r="A9" s="164"/>
      <c r="B9" s="164" t="s">
        <v>586</v>
      </c>
      <c r="C9" s="230">
        <v>0.153</v>
      </c>
      <c r="D9" s="230">
        <v>0.149</v>
      </c>
    </row>
    <row r="10" ht="33.75" customHeight="1">
      <c r="A10" s="167"/>
      <c r="B10" s="231" t="s">
        <v>587</v>
      </c>
      <c r="C10" s="197">
        <v>0.021</v>
      </c>
      <c r="D10" s="197">
        <v>0.018</v>
      </c>
      <c r="E10" s="232" t="s">
        <v>148</v>
      </c>
    </row>
    <row r="11" ht="33.75" customHeight="1">
      <c r="A11" s="167"/>
      <c r="B11" s="231" t="s">
        <v>588</v>
      </c>
      <c r="C11" s="197">
        <v>0.054</v>
      </c>
      <c r="D11" s="197">
        <v>0.046</v>
      </c>
      <c r="E11" s="232" t="s">
        <v>148</v>
      </c>
    </row>
    <row r="12" ht="33.75" customHeight="1">
      <c r="A12" s="164"/>
      <c r="B12" s="233" t="s">
        <v>589</v>
      </c>
      <c r="C12" s="197">
        <v>0.014</v>
      </c>
      <c r="D12" s="197">
        <v>0.011</v>
      </c>
      <c r="E12" s="232" t="s">
        <v>148</v>
      </c>
    </row>
    <row r="13" ht="33.75" customHeight="1">
      <c r="A13" s="164"/>
      <c r="B13" s="164" t="s">
        <v>590</v>
      </c>
      <c r="C13" s="230">
        <v>0.93</v>
      </c>
      <c r="D13" s="230">
        <v>0.27</v>
      </c>
    </row>
    <row r="14" ht="33.75" customHeight="1">
      <c r="A14" s="167"/>
      <c r="B14" s="167" t="s">
        <v>591</v>
      </c>
      <c r="C14" s="230">
        <v>0.07</v>
      </c>
      <c r="D14" s="230">
        <v>0.73</v>
      </c>
    </row>
    <row r="15" ht="33.75" customHeight="1">
      <c r="A15" s="167"/>
      <c r="B15" s="167" t="s">
        <v>592</v>
      </c>
      <c r="C15" s="230">
        <v>0.0</v>
      </c>
      <c r="D15" s="230">
        <v>0.05</v>
      </c>
    </row>
    <row r="16" ht="33.75" customHeight="1">
      <c r="A16" s="167"/>
      <c r="B16" s="167" t="s">
        <v>593</v>
      </c>
      <c r="C16" s="162">
        <v>18.0</v>
      </c>
      <c r="D16" s="162">
        <v>20.0</v>
      </c>
      <c r="E16" s="234"/>
    </row>
    <row r="17" ht="33.75" customHeight="1">
      <c r="A17" s="164"/>
      <c r="B17" s="164" t="s">
        <v>594</v>
      </c>
      <c r="C17" s="162">
        <v>18.0</v>
      </c>
      <c r="D17" s="162">
        <v>20.0</v>
      </c>
      <c r="E17" s="234"/>
    </row>
    <row r="18"/>
    <row r="19"/>
    <row r="20"/>
    <row r="21"/>
    <row r="25">
      <c r="A25" s="11"/>
      <c r="B25" s="11" t="s">
        <v>595</v>
      </c>
    </row>
    <row r="26">
      <c r="B26" s="4" t="s">
        <v>596</v>
      </c>
    </row>
    <row r="28">
      <c r="A28" s="155" t="b">
        <v>1</v>
      </c>
      <c r="B28" s="155" t="s">
        <v>597</v>
      </c>
    </row>
    <row r="29">
      <c r="A29" s="155" t="b">
        <v>1</v>
      </c>
      <c r="B29" s="155" t="s">
        <v>598</v>
      </c>
    </row>
    <row r="30">
      <c r="A30" s="155" t="b">
        <v>1</v>
      </c>
      <c r="B30" s="155" t="s">
        <v>599</v>
      </c>
    </row>
    <row r="31">
      <c r="A31" s="155" t="b">
        <v>1</v>
      </c>
      <c r="B31" s="155" t="s">
        <v>600</v>
      </c>
    </row>
    <row r="32">
      <c r="A32" s="155" t="b">
        <v>1</v>
      </c>
      <c r="B32" s="155" t="s">
        <v>601</v>
      </c>
    </row>
    <row r="33">
      <c r="A33" s="155" t="b">
        <v>1</v>
      </c>
      <c r="B33" s="155" t="s">
        <v>602</v>
      </c>
    </row>
    <row r="34">
      <c r="A34" s="155" t="b">
        <v>1</v>
      </c>
      <c r="B34" s="155" t="s">
        <v>603</v>
      </c>
    </row>
    <row r="35">
      <c r="A35" s="155" t="b">
        <v>1</v>
      </c>
      <c r="B35" s="155" t="s">
        <v>604</v>
      </c>
    </row>
    <row r="36">
      <c r="A36" s="155" t="b">
        <v>1</v>
      </c>
      <c r="B36" s="155" t="s">
        <v>605</v>
      </c>
    </row>
    <row r="37">
      <c r="A37" s="155" t="b">
        <v>1</v>
      </c>
      <c r="B37" s="155" t="s">
        <v>606</v>
      </c>
    </row>
    <row r="38">
      <c r="A38" s="155" t="b">
        <v>1</v>
      </c>
      <c r="B38" s="155" t="s">
        <v>607</v>
      </c>
    </row>
    <row r="39">
      <c r="A39" s="4" t="b">
        <v>0</v>
      </c>
      <c r="B39" s="155" t="s">
        <v>608</v>
      </c>
    </row>
    <row r="40">
      <c r="A40" s="155" t="b">
        <v>1</v>
      </c>
      <c r="B40" s="155" t="s">
        <v>609</v>
      </c>
    </row>
    <row r="41">
      <c r="A41" s="155" t="b">
        <v>1</v>
      </c>
      <c r="B41" s="155" t="s">
        <v>610</v>
      </c>
    </row>
    <row r="42">
      <c r="A42" s="11"/>
      <c r="B42" s="11"/>
    </row>
    <row r="43">
      <c r="A43" s="11"/>
      <c r="B43" s="11" t="s">
        <v>611</v>
      </c>
    </row>
    <row r="45">
      <c r="B45" s="155" t="s">
        <v>612</v>
      </c>
    </row>
    <row r="47">
      <c r="A47" s="26"/>
      <c r="B47" s="26" t="s">
        <v>613</v>
      </c>
    </row>
    <row r="48">
      <c r="A48" s="2"/>
      <c r="B48" s="37"/>
    </row>
    <row r="50">
      <c r="B50" s="155" t="s">
        <v>614</v>
      </c>
    </row>
    <row r="52">
      <c r="A52" s="26"/>
      <c r="B52" s="26" t="s">
        <v>613</v>
      </c>
    </row>
    <row r="53">
      <c r="A53" s="2"/>
      <c r="B53" s="37"/>
    </row>
    <row r="55">
      <c r="B55" s="155" t="s">
        <v>615</v>
      </c>
    </row>
    <row r="57">
      <c r="A57" s="26"/>
      <c r="B57" s="26" t="s">
        <v>613</v>
      </c>
    </row>
    <row r="58">
      <c r="A58" s="2"/>
      <c r="B58" s="37"/>
    </row>
    <row r="59">
      <c r="A59" s="11"/>
      <c r="B59" s="11" t="s">
        <v>616</v>
      </c>
    </row>
    <row r="60">
      <c r="B60" s="4" t="s">
        <v>617</v>
      </c>
    </row>
    <row r="61">
      <c r="A61" s="193"/>
      <c r="B61" s="235" t="s">
        <v>148</v>
      </c>
    </row>
    <row r="62">
      <c r="B62" s="155"/>
    </row>
    <row r="63">
      <c r="A63" s="155" t="b">
        <v>1</v>
      </c>
      <c r="B63" s="155" t="s">
        <v>618</v>
      </c>
    </row>
    <row r="64">
      <c r="A64" s="155" t="b">
        <v>1</v>
      </c>
      <c r="B64" s="155" t="s">
        <v>619</v>
      </c>
    </row>
    <row r="65">
      <c r="A65" s="155" t="b">
        <v>1</v>
      </c>
      <c r="B65" s="155" t="s">
        <v>620</v>
      </c>
    </row>
    <row r="66">
      <c r="A66" s="155" t="b">
        <v>1</v>
      </c>
      <c r="B66" s="155" t="s">
        <v>621</v>
      </c>
    </row>
    <row r="67">
      <c r="A67" s="155" t="b">
        <v>1</v>
      </c>
      <c r="B67" s="155" t="s">
        <v>622</v>
      </c>
    </row>
    <row r="68">
      <c r="A68" s="155" t="b">
        <v>1</v>
      </c>
      <c r="B68" s="155" t="s">
        <v>623</v>
      </c>
    </row>
    <row r="69">
      <c r="A69" s="4" t="b">
        <v>0</v>
      </c>
      <c r="B69" s="155" t="s">
        <v>624</v>
      </c>
      <c r="C69" s="43" t="s">
        <v>625</v>
      </c>
    </row>
    <row r="70">
      <c r="A70" s="155" t="b">
        <v>1</v>
      </c>
      <c r="B70" s="155" t="s">
        <v>626</v>
      </c>
    </row>
    <row r="71">
      <c r="A71" s="155" t="b">
        <v>1</v>
      </c>
      <c r="B71" s="155" t="s">
        <v>627</v>
      </c>
    </row>
    <row r="72">
      <c r="A72" s="155" t="b">
        <v>1</v>
      </c>
      <c r="B72" s="155" t="s">
        <v>628</v>
      </c>
    </row>
    <row r="73">
      <c r="A73" s="155" t="b">
        <v>1</v>
      </c>
      <c r="B73" s="155" t="s">
        <v>629</v>
      </c>
    </row>
    <row r="74">
      <c r="A74" s="155" t="b">
        <v>1</v>
      </c>
      <c r="B74" s="155" t="s">
        <v>630</v>
      </c>
    </row>
    <row r="76">
      <c r="B76" s="4" t="s">
        <v>631</v>
      </c>
    </row>
    <row r="77" ht="48.0" customHeight="1">
      <c r="A77" s="2"/>
      <c r="B77" s="236" t="s">
        <v>632</v>
      </c>
    </row>
    <row r="86">
      <c r="A86" s="228"/>
      <c r="B86" s="229" t="s">
        <v>633</v>
      </c>
      <c r="C86" s="9"/>
      <c r="D86" s="9"/>
      <c r="E86" s="10"/>
    </row>
  </sheetData>
  <mergeCells count="3">
    <mergeCell ref="B1:E1"/>
    <mergeCell ref="B5:E6"/>
    <mergeCell ref="B86:E86"/>
  </mergeCells>
  <conditionalFormatting sqref="C9:D15">
    <cfRule type="cellIs" dxfId="0" priority="1" operator="greaterThan">
      <formula>1</formula>
    </cfRule>
  </conditionalFormatting>
  <dataValidations>
    <dataValidation type="decimal" allowBlank="1" showErrorMessage="1" sqref="C16:D17">
      <formula1>0.0</formula1>
      <formula2>200.0</formula2>
    </dataValidation>
    <dataValidation type="decimal" allowBlank="1" showErrorMessage="1" sqref="C9:D15">
      <formula1>0.0</formula1>
      <formula2>100.0</formula2>
    </dataValidation>
  </dataValidations>
  <printOptions/>
  <pageMargins bottom="0.75" footer="0.0" header="0.0" left="0.7" right="0.7" top="0.75"/>
  <pageSetup orientation="landscape"/>
  <headerFooter>
    <oddHeader>&amp;C  </oddHeader>
    <oddFooter>&amp;C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0"/>
    <col customWidth="1" min="2" max="2" width="38.44"/>
    <col customWidth="1" min="3" max="5" width="18.11"/>
    <col customWidth="1" min="6" max="26" width="11.0"/>
  </cols>
  <sheetData>
    <row r="1">
      <c r="A1" s="8" t="s">
        <v>634</v>
      </c>
      <c r="B1" s="9"/>
      <c r="C1" s="9"/>
      <c r="D1" s="9"/>
      <c r="E1" s="9"/>
      <c r="F1" s="10"/>
    </row>
    <row r="2">
      <c r="A2" s="237" t="s">
        <v>635</v>
      </c>
    </row>
    <row r="3">
      <c r="A3" s="11" t="s">
        <v>636</v>
      </c>
    </row>
    <row r="4">
      <c r="A4" s="4" t="s">
        <v>637</v>
      </c>
    </row>
    <row r="5" ht="18.75" customHeight="1">
      <c r="B5" s="238" t="s">
        <v>638</v>
      </c>
    </row>
    <row r="6"/>
    <row r="7" ht="85.5" customHeight="1">
      <c r="A7" s="239" t="s">
        <v>639</v>
      </c>
    </row>
    <row r="8"/>
    <row r="9">
      <c r="B9" s="4" t="s">
        <v>640</v>
      </c>
      <c r="C9" s="214" t="s">
        <v>641</v>
      </c>
    </row>
    <row r="10"/>
    <row r="11">
      <c r="C11" s="240"/>
      <c r="D11" s="89" t="s">
        <v>642</v>
      </c>
      <c r="E11" s="241"/>
    </row>
    <row r="12"/>
    <row r="13"/>
    <row r="14">
      <c r="A14" s="11" t="s">
        <v>643</v>
      </c>
    </row>
    <row r="15"/>
    <row r="16" ht="42.75" customHeight="1">
      <c r="A16" s="242" t="s">
        <v>644</v>
      </c>
    </row>
    <row r="17" ht="36.75" customHeight="1">
      <c r="A17" s="243" t="s">
        <v>645</v>
      </c>
    </row>
    <row r="18">
      <c r="A18" s="244" t="s">
        <v>646</v>
      </c>
    </row>
    <row r="19" ht="36.75" customHeight="1">
      <c r="A19" s="243" t="s">
        <v>647</v>
      </c>
    </row>
    <row r="20">
      <c r="A20" s="244" t="s">
        <v>648</v>
      </c>
    </row>
    <row r="22">
      <c r="C22" s="1" t="s">
        <v>649</v>
      </c>
      <c r="D22" s="1" t="s">
        <v>60</v>
      </c>
    </row>
    <row r="23">
      <c r="B23" s="245" t="s">
        <v>650</v>
      </c>
      <c r="C23" s="245"/>
      <c r="D23" s="245"/>
    </row>
    <row r="24">
      <c r="B24" s="89" t="s">
        <v>651</v>
      </c>
      <c r="C24" s="246"/>
      <c r="D24" s="246"/>
    </row>
    <row r="25">
      <c r="B25" s="245" t="s">
        <v>652</v>
      </c>
      <c r="C25" s="247"/>
      <c r="D25" s="247"/>
    </row>
    <row r="26">
      <c r="B26" s="89" t="s">
        <v>653</v>
      </c>
      <c r="C26" s="246"/>
      <c r="D26" s="246"/>
    </row>
    <row r="27">
      <c r="B27" s="89" t="s">
        <v>654</v>
      </c>
      <c r="C27" s="248">
        <v>13146.0</v>
      </c>
      <c r="D27" s="249" t="s">
        <v>655</v>
      </c>
      <c r="E27" s="250" t="s">
        <v>656</v>
      </c>
    </row>
    <row r="28">
      <c r="B28" s="89" t="s">
        <v>657</v>
      </c>
      <c r="C28" s="251">
        <v>47346.0</v>
      </c>
      <c r="D28" s="252" t="s">
        <v>655</v>
      </c>
      <c r="E28" s="253"/>
    </row>
    <row r="29">
      <c r="B29" s="89" t="s">
        <v>658</v>
      </c>
      <c r="C29" s="251">
        <v>47346.0</v>
      </c>
      <c r="D29" s="252" t="s">
        <v>655</v>
      </c>
      <c r="E29" s="253"/>
    </row>
    <row r="30">
      <c r="B30" s="245" t="s">
        <v>659</v>
      </c>
      <c r="C30" s="254"/>
      <c r="D30" s="254"/>
      <c r="E30" s="253"/>
    </row>
    <row r="31">
      <c r="B31" s="89" t="s">
        <v>660</v>
      </c>
      <c r="C31" s="255">
        <v>3927.0</v>
      </c>
      <c r="D31" s="252" t="s">
        <v>655</v>
      </c>
      <c r="E31" s="253"/>
    </row>
    <row r="32">
      <c r="B32" s="89" t="s">
        <v>661</v>
      </c>
      <c r="C32" s="251">
        <v>23544.0</v>
      </c>
      <c r="D32" s="256"/>
      <c r="E32" s="253"/>
    </row>
    <row r="33">
      <c r="B33" s="89" t="s">
        <v>662</v>
      </c>
      <c r="C33" s="246"/>
      <c r="D33" s="246"/>
    </row>
    <row r="34">
      <c r="B34" s="89" t="s">
        <v>663</v>
      </c>
      <c r="C34" s="246"/>
      <c r="D34" s="246"/>
    </row>
    <row r="36" ht="37.5" customHeight="1">
      <c r="A36" s="2" t="s">
        <v>664</v>
      </c>
      <c r="E36" s="257"/>
      <c r="F36" s="23"/>
    </row>
    <row r="37">
      <c r="A37" s="2"/>
      <c r="B37" s="2"/>
      <c r="C37" s="2"/>
      <c r="D37" s="2"/>
      <c r="E37" s="258"/>
      <c r="F37" s="23"/>
    </row>
    <row r="38">
      <c r="A38" s="2" t="s">
        <v>665</v>
      </c>
      <c r="D38" s="2"/>
      <c r="E38" s="258"/>
      <c r="F38" s="23"/>
    </row>
    <row r="39" ht="66.75" customHeight="1">
      <c r="A39" s="2"/>
      <c r="B39" s="37"/>
      <c r="C39" s="2"/>
      <c r="D39" s="2"/>
      <c r="E39" s="258"/>
      <c r="F39" s="23"/>
    </row>
    <row r="40">
      <c r="A40" s="2"/>
      <c r="B40" s="2"/>
      <c r="C40" s="2"/>
      <c r="D40" s="2"/>
      <c r="E40" s="258"/>
      <c r="F40" s="23"/>
    </row>
    <row r="41">
      <c r="A41" s="11" t="s">
        <v>666</v>
      </c>
    </row>
    <row r="42">
      <c r="A42" s="4" t="s">
        <v>667</v>
      </c>
    </row>
    <row r="44">
      <c r="B44" s="89" t="s">
        <v>668</v>
      </c>
      <c r="C44" s="259">
        <v>12.0</v>
      </c>
    </row>
    <row r="45">
      <c r="B45" s="89" t="s">
        <v>669</v>
      </c>
      <c r="C45" s="259">
        <v>20.0</v>
      </c>
    </row>
    <row r="47">
      <c r="A47" s="11" t="s">
        <v>670</v>
      </c>
    </row>
    <row r="48">
      <c r="A48" s="4" t="s">
        <v>671</v>
      </c>
      <c r="D48" s="210" t="s">
        <v>224</v>
      </c>
    </row>
    <row r="50">
      <c r="A50" s="11" t="s">
        <v>672</v>
      </c>
    </row>
    <row r="51">
      <c r="A51" s="4" t="s">
        <v>673</v>
      </c>
      <c r="E51" s="210" t="s">
        <v>224</v>
      </c>
    </row>
    <row r="53">
      <c r="A53" s="26" t="s">
        <v>674</v>
      </c>
      <c r="E53" s="230"/>
    </row>
    <row r="55">
      <c r="A55" s="11" t="s">
        <v>675</v>
      </c>
    </row>
    <row r="56">
      <c r="A56" s="4" t="s">
        <v>676</v>
      </c>
    </row>
    <row r="58" ht="39.0" customHeight="1">
      <c r="C58" s="73" t="s">
        <v>677</v>
      </c>
      <c r="D58" s="73" t="s">
        <v>678</v>
      </c>
      <c r="E58" s="73" t="s">
        <v>679</v>
      </c>
    </row>
    <row r="59">
      <c r="B59" s="3" t="s">
        <v>680</v>
      </c>
      <c r="C59" s="260">
        <v>1132.0</v>
      </c>
      <c r="D59" s="260">
        <v>1132.0</v>
      </c>
      <c r="E59" s="260">
        <v>1132.0</v>
      </c>
    </row>
    <row r="60">
      <c r="B60" s="3" t="s">
        <v>681</v>
      </c>
      <c r="C60" s="261"/>
      <c r="D60" s="262"/>
      <c r="E60" s="262"/>
    </row>
    <row r="61">
      <c r="B61" s="3" t="s">
        <v>682</v>
      </c>
      <c r="C61" s="261"/>
      <c r="D61" s="262"/>
      <c r="E61" s="262"/>
    </row>
    <row r="62">
      <c r="B62" s="3" t="s">
        <v>683</v>
      </c>
      <c r="C62" s="206">
        <v>23544.0</v>
      </c>
      <c r="D62" s="263">
        <v>7732.0</v>
      </c>
      <c r="E62" s="263">
        <v>18422.0</v>
      </c>
    </row>
    <row r="63">
      <c r="B63" s="3" t="s">
        <v>684</v>
      </c>
      <c r="C63" s="264">
        <v>742.0</v>
      </c>
      <c r="D63" s="265">
        <v>2444.0</v>
      </c>
      <c r="E63" s="265">
        <v>1072.0</v>
      </c>
    </row>
    <row r="64">
      <c r="B64" s="3" t="s">
        <v>685</v>
      </c>
      <c r="C64" s="264">
        <v>6612.0</v>
      </c>
      <c r="D64" s="265">
        <v>6844.0</v>
      </c>
      <c r="E64" s="265">
        <v>6756.0</v>
      </c>
    </row>
    <row r="66">
      <c r="A66" s="266" t="s">
        <v>686</v>
      </c>
    </row>
    <row r="68">
      <c r="A68" s="11" t="s">
        <v>687</v>
      </c>
    </row>
    <row r="69">
      <c r="A69" s="4" t="s">
        <v>688</v>
      </c>
    </row>
    <row r="71">
      <c r="B71" s="267" t="s">
        <v>689</v>
      </c>
      <c r="C71" s="245"/>
    </row>
    <row r="72">
      <c r="B72" s="89" t="s">
        <v>690</v>
      </c>
      <c r="D72" s="246"/>
    </row>
    <row r="73">
      <c r="B73" s="267" t="s">
        <v>691</v>
      </c>
      <c r="C73" s="267"/>
      <c r="D73" s="80"/>
    </row>
    <row r="74">
      <c r="B74" s="89" t="s">
        <v>692</v>
      </c>
      <c r="D74" s="246"/>
    </row>
    <row r="75">
      <c r="B75" s="89" t="s">
        <v>693</v>
      </c>
      <c r="D75" s="246"/>
    </row>
    <row r="76">
      <c r="B76" s="89" t="s">
        <v>694</v>
      </c>
      <c r="D76" s="246"/>
    </row>
    <row r="77">
      <c r="A77" s="89" t="s">
        <v>695</v>
      </c>
      <c r="C77" s="14"/>
      <c r="D77" s="246"/>
    </row>
    <row r="79">
      <c r="A79" s="8" t="s">
        <v>696</v>
      </c>
      <c r="B79" s="9"/>
      <c r="C79" s="9"/>
      <c r="D79" s="9"/>
      <c r="E79" s="9"/>
      <c r="F79" s="10"/>
    </row>
  </sheetData>
  <mergeCells count="17">
    <mergeCell ref="A1:F1"/>
    <mergeCell ref="A2:F2"/>
    <mergeCell ref="A7:F7"/>
    <mergeCell ref="A16:F16"/>
    <mergeCell ref="A17:F17"/>
    <mergeCell ref="A18:F18"/>
    <mergeCell ref="A19:F19"/>
    <mergeCell ref="B76:C76"/>
    <mergeCell ref="A77:C77"/>
    <mergeCell ref="A79:F79"/>
    <mergeCell ref="A20:F20"/>
    <mergeCell ref="A36:D36"/>
    <mergeCell ref="A38:C38"/>
    <mergeCell ref="A66:F66"/>
    <mergeCell ref="B72:C72"/>
    <mergeCell ref="B74:C74"/>
    <mergeCell ref="B75:C75"/>
  </mergeCells>
  <dataValidations>
    <dataValidation type="list" allowBlank="1" showErrorMessage="1" sqref="D48 E51">
      <formula1>validations!$A$1:$A$2</formula1>
    </dataValidation>
    <dataValidation type="list" allowBlank="1" showErrorMessage="1" sqref="C9">
      <formula1>validations!$R$1:$R$3</formula1>
    </dataValidation>
  </dataValidations>
  <printOptions/>
  <pageMargins bottom="0.75" footer="0.0" header="0.0" left="0.7" right="0.7" top="0.75"/>
  <pageSetup orientation="landscape"/>
  <headerFooter>
    <oddHeader>&amp;C   </oddHeader>
    <oddFooter>&amp;C   </oddFooter>
  </headerFooter>
  <rowBreaks count="1" manualBreakCount="1">
    <brk id="20"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7.56"/>
    <col customWidth="1" min="2" max="2" width="43.56"/>
    <col customWidth="1" min="3" max="3" width="18.56"/>
    <col customWidth="1" min="4" max="4" width="18.44"/>
    <col customWidth="1" min="5" max="5" width="16.11"/>
    <col customWidth="1" min="6" max="6" width="14.44"/>
    <col customWidth="1" min="7" max="7" width="25.44"/>
    <col customWidth="1" min="8" max="26" width="10.56"/>
  </cols>
  <sheetData>
    <row r="1">
      <c r="A1" s="268" t="s">
        <v>148</v>
      </c>
      <c r="B1" s="269"/>
      <c r="C1" s="269"/>
      <c r="D1" s="269"/>
      <c r="E1" s="269"/>
      <c r="F1" s="11"/>
    </row>
    <row r="2">
      <c r="A2" s="8" t="s">
        <v>697</v>
      </c>
      <c r="B2" s="9"/>
      <c r="C2" s="9"/>
      <c r="D2" s="9"/>
      <c r="E2" s="10"/>
      <c r="F2" s="11"/>
    </row>
    <row r="3" ht="409.5" customHeight="1">
      <c r="A3" s="2" t="s">
        <v>698</v>
      </c>
      <c r="F3" s="23"/>
    </row>
    <row r="4">
      <c r="F4" s="23"/>
    </row>
    <row r="5">
      <c r="F5" s="23"/>
    </row>
    <row r="6">
      <c r="F6" s="23"/>
    </row>
    <row r="7">
      <c r="F7" s="23"/>
    </row>
    <row r="8">
      <c r="F8" s="23"/>
    </row>
    <row r="9">
      <c r="F9" s="23"/>
    </row>
    <row r="10" ht="15.75" customHeight="1">
      <c r="A10" s="98" t="s">
        <v>699</v>
      </c>
      <c r="F10" s="270"/>
    </row>
    <row r="11">
      <c r="F11" s="270"/>
    </row>
    <row r="12">
      <c r="F12" s="270"/>
    </row>
    <row r="13">
      <c r="F13" s="270"/>
    </row>
    <row r="14">
      <c r="F14" s="270"/>
    </row>
    <row r="15">
      <c r="F15" s="270"/>
    </row>
    <row r="16">
      <c r="F16" s="270"/>
    </row>
    <row r="17">
      <c r="F17" s="270"/>
    </row>
    <row r="18">
      <c r="F18" s="270"/>
    </row>
    <row r="19">
      <c r="F19" s="270"/>
    </row>
    <row r="20">
      <c r="F20" s="270"/>
    </row>
    <row r="21">
      <c r="F21" s="270"/>
    </row>
    <row r="22">
      <c r="F22" s="270"/>
    </row>
    <row r="23">
      <c r="F23" s="270"/>
    </row>
    <row r="24">
      <c r="F24" s="270"/>
    </row>
    <row r="25">
      <c r="F25" s="270"/>
    </row>
    <row r="26">
      <c r="F26" s="270"/>
    </row>
    <row r="27">
      <c r="F27" s="270"/>
    </row>
    <row r="28">
      <c r="F28" s="270"/>
    </row>
    <row r="29">
      <c r="F29" s="270"/>
    </row>
    <row r="30">
      <c r="A30" s="270"/>
      <c r="B30" s="270"/>
      <c r="C30" s="270"/>
      <c r="D30" s="270"/>
      <c r="E30" s="270"/>
      <c r="F30" s="270"/>
    </row>
    <row r="31">
      <c r="A31" s="11" t="s">
        <v>700</v>
      </c>
      <c r="B31" s="11"/>
      <c r="C31" s="270"/>
      <c r="D31" s="270"/>
      <c r="E31" s="270"/>
      <c r="F31" s="271"/>
      <c r="G31" s="271"/>
      <c r="H31" s="271"/>
      <c r="I31" s="271"/>
      <c r="J31" s="271"/>
    </row>
    <row r="32" ht="18.75" customHeight="1">
      <c r="A32" s="2" t="s">
        <v>701</v>
      </c>
      <c r="F32" s="271"/>
      <c r="G32" s="271"/>
      <c r="H32" s="271"/>
      <c r="I32" s="271"/>
      <c r="J32" s="271"/>
    </row>
    <row r="33" ht="18.75" customHeight="1">
      <c r="F33" s="271"/>
      <c r="G33" s="271"/>
      <c r="H33" s="271"/>
      <c r="I33" s="271"/>
      <c r="J33" s="271"/>
    </row>
    <row r="34" ht="18.75" customHeight="1">
      <c r="A34" s="2" t="s">
        <v>702</v>
      </c>
      <c r="F34" s="271"/>
      <c r="G34" s="271"/>
      <c r="H34" s="271"/>
      <c r="I34" s="271"/>
      <c r="J34" s="271"/>
    </row>
    <row r="35">
      <c r="F35" s="271"/>
      <c r="G35" s="271"/>
      <c r="H35" s="271"/>
      <c r="I35" s="271"/>
      <c r="J35" s="271"/>
    </row>
    <row r="36" ht="18.75" customHeight="1">
      <c r="A36" s="2" t="s">
        <v>703</v>
      </c>
      <c r="F36" s="270"/>
    </row>
    <row r="37" ht="18.75" customHeight="1">
      <c r="A37" s="2" t="s">
        <v>704</v>
      </c>
      <c r="F37" s="270"/>
    </row>
    <row r="38" ht="15.75" customHeight="1">
      <c r="A38" s="2" t="s">
        <v>705</v>
      </c>
      <c r="F38" s="270"/>
    </row>
    <row r="39">
      <c r="F39" s="270"/>
    </row>
    <row r="40">
      <c r="A40" s="23"/>
      <c r="B40" s="23"/>
      <c r="C40" s="23"/>
      <c r="D40" s="23"/>
      <c r="E40" s="23"/>
      <c r="F40" s="270"/>
    </row>
    <row r="41">
      <c r="A41" s="272" t="s">
        <v>706</v>
      </c>
    </row>
    <row r="42">
      <c r="A42" s="196" t="s">
        <v>707</v>
      </c>
    </row>
    <row r="44">
      <c r="B44" s="273" t="s">
        <v>708</v>
      </c>
    </row>
    <row r="46">
      <c r="A46" s="4" t="s">
        <v>709</v>
      </c>
    </row>
    <row r="48">
      <c r="B48" s="273" t="s">
        <v>710</v>
      </c>
    </row>
    <row r="49">
      <c r="B49" s="4"/>
    </row>
    <row r="50" ht="78.0" customHeight="1">
      <c r="A50" s="274" t="s">
        <v>700</v>
      </c>
      <c r="B50" s="103"/>
      <c r="C50" s="13" t="s">
        <v>711</v>
      </c>
      <c r="D50" s="13" t="s">
        <v>712</v>
      </c>
    </row>
    <row r="51" ht="15.75" customHeight="1">
      <c r="A51" s="275" t="s">
        <v>713</v>
      </c>
      <c r="B51" s="276" t="s">
        <v>714</v>
      </c>
      <c r="C51" s="260">
        <v>5.7816634E7</v>
      </c>
      <c r="D51" s="260">
        <v>1702155.0</v>
      </c>
    </row>
    <row r="52">
      <c r="A52" s="277"/>
      <c r="B52" s="278" t="s">
        <v>715</v>
      </c>
      <c r="C52" s="260">
        <v>1.46569039E8</v>
      </c>
      <c r="D52" s="260">
        <v>3442874.0</v>
      </c>
    </row>
    <row r="53" ht="84.0" customHeight="1">
      <c r="A53" s="277"/>
      <c r="B53" s="278" t="s">
        <v>716</v>
      </c>
      <c r="C53" s="260">
        <v>2.25751762E8</v>
      </c>
      <c r="D53" s="260">
        <v>1.7609342E7</v>
      </c>
    </row>
    <row r="54">
      <c r="A54" s="277"/>
      <c r="B54" s="278" t="s">
        <v>717</v>
      </c>
      <c r="C54" s="260">
        <v>7456480.0</v>
      </c>
      <c r="D54" s="260">
        <v>1.1065269E7</v>
      </c>
    </row>
    <row r="55">
      <c r="A55" s="279"/>
      <c r="B55" s="280" t="s">
        <v>718</v>
      </c>
      <c r="C55" s="281">
        <v>4.37593915E8</v>
      </c>
      <c r="D55" s="281">
        <v>3.381964E7</v>
      </c>
    </row>
    <row r="56">
      <c r="A56" s="282" t="s">
        <v>719</v>
      </c>
      <c r="B56" s="278" t="s">
        <v>720</v>
      </c>
      <c r="C56" s="260">
        <v>2.0688896E7</v>
      </c>
      <c r="D56" s="260">
        <v>1.6925752E7</v>
      </c>
    </row>
    <row r="57">
      <c r="A57" s="277"/>
      <c r="B57" s="276" t="s">
        <v>721</v>
      </c>
      <c r="C57" s="260">
        <v>1.4772645E7</v>
      </c>
      <c r="D57" s="261"/>
    </row>
    <row r="58">
      <c r="A58" s="277"/>
      <c r="B58" s="278" t="s">
        <v>722</v>
      </c>
      <c r="C58" s="260">
        <v>4174283.0</v>
      </c>
      <c r="D58" s="262"/>
    </row>
    <row r="59">
      <c r="A59" s="279"/>
      <c r="B59" s="283" t="s">
        <v>723</v>
      </c>
      <c r="C59" s="281">
        <v>3.9635824E7</v>
      </c>
      <c r="D59" s="281">
        <v>1.6925752E7</v>
      </c>
    </row>
    <row r="60">
      <c r="A60" s="282" t="s">
        <v>724</v>
      </c>
      <c r="B60" s="276" t="s">
        <v>725</v>
      </c>
      <c r="C60" s="260">
        <v>1.1667257E7</v>
      </c>
      <c r="D60" s="260">
        <v>2.9169913E7</v>
      </c>
    </row>
    <row r="61">
      <c r="A61" s="277"/>
      <c r="B61" s="276" t="s">
        <v>726</v>
      </c>
      <c r="C61" s="260">
        <v>0.0</v>
      </c>
      <c r="D61" s="260">
        <v>0.0</v>
      </c>
    </row>
    <row r="62">
      <c r="A62" s="279"/>
      <c r="B62" s="276" t="s">
        <v>727</v>
      </c>
      <c r="C62" s="260">
        <v>2289534.0</v>
      </c>
      <c r="D62" s="260">
        <v>1.5107861E7</v>
      </c>
    </row>
    <row r="65">
      <c r="A65" s="11" t="s">
        <v>728</v>
      </c>
    </row>
    <row r="66">
      <c r="A66" s="2" t="s">
        <v>729</v>
      </c>
    </row>
    <row r="68">
      <c r="A68" s="16" t="s">
        <v>730</v>
      </c>
    </row>
    <row r="69">
      <c r="A69" s="16" t="s">
        <v>731</v>
      </c>
    </row>
    <row r="70">
      <c r="A70" s="2" t="s">
        <v>732</v>
      </c>
    </row>
    <row r="72">
      <c r="A72" s="284" t="s">
        <v>733</v>
      </c>
    </row>
    <row r="74">
      <c r="C74" s="285" t="s">
        <v>734</v>
      </c>
      <c r="D74" s="285" t="s">
        <v>735</v>
      </c>
      <c r="E74" s="285" t="s">
        <v>736</v>
      </c>
    </row>
    <row r="75" ht="51.0" customHeight="1">
      <c r="A75" s="119"/>
      <c r="B75" s="286" t="s">
        <v>737</v>
      </c>
      <c r="C75" s="287">
        <v>6604.0</v>
      </c>
      <c r="D75" s="287">
        <v>31542.0</v>
      </c>
      <c r="E75" s="287">
        <v>1531.0</v>
      </c>
    </row>
    <row r="76" ht="51.0" customHeight="1">
      <c r="A76" s="119"/>
      <c r="B76" s="286" t="s">
        <v>738</v>
      </c>
      <c r="C76" s="287">
        <v>4967.0</v>
      </c>
      <c r="D76" s="287">
        <v>19319.0</v>
      </c>
      <c r="E76" s="287">
        <v>1015.0</v>
      </c>
    </row>
    <row r="77" ht="51.0" customHeight="1">
      <c r="A77" s="119"/>
      <c r="B77" s="286" t="s">
        <v>739</v>
      </c>
      <c r="C77" s="287">
        <v>3200.0</v>
      </c>
      <c r="D77" s="287">
        <v>15000.0</v>
      </c>
      <c r="E77" s="287">
        <v>909.0</v>
      </c>
    </row>
    <row r="78" ht="51.0" customHeight="1">
      <c r="A78" s="119"/>
      <c r="B78" s="286" t="s">
        <v>740</v>
      </c>
      <c r="C78" s="287">
        <v>3121.0</v>
      </c>
      <c r="D78" s="287">
        <v>14685.0</v>
      </c>
      <c r="E78" s="287">
        <v>890.0</v>
      </c>
    </row>
    <row r="79" ht="51.0" customHeight="1">
      <c r="A79" s="119"/>
      <c r="B79" s="286" t="s">
        <v>741</v>
      </c>
      <c r="C79" s="287">
        <v>3006.0</v>
      </c>
      <c r="D79" s="287">
        <v>14197.0</v>
      </c>
      <c r="E79" s="287">
        <v>882.0</v>
      </c>
    </row>
    <row r="80" ht="51.0" customHeight="1">
      <c r="A80" s="119"/>
      <c r="B80" s="286" t="s">
        <v>742</v>
      </c>
      <c r="C80" s="219">
        <v>1839.0</v>
      </c>
      <c r="D80" s="219">
        <v>8019.0</v>
      </c>
      <c r="E80" s="219">
        <v>457.0</v>
      </c>
    </row>
    <row r="81" ht="51.0" customHeight="1">
      <c r="A81" s="119"/>
      <c r="B81" s="286" t="s">
        <v>743</v>
      </c>
      <c r="C81" s="219">
        <v>125.0</v>
      </c>
      <c r="D81" s="219">
        <v>419.0</v>
      </c>
      <c r="E81" s="219">
        <v>2.0</v>
      </c>
    </row>
    <row r="82" ht="51.0" customHeight="1">
      <c r="A82" s="119"/>
      <c r="B82" s="286" t="s">
        <v>744</v>
      </c>
      <c r="C82" s="219">
        <v>1194.0</v>
      </c>
      <c r="D82" s="219">
        <v>4789.0</v>
      </c>
      <c r="E82" s="219">
        <v>279.0</v>
      </c>
    </row>
    <row r="83" ht="112.5" customHeight="1">
      <c r="A83" s="119"/>
      <c r="B83" s="286" t="s">
        <v>745</v>
      </c>
      <c r="C83" s="197">
        <v>0.893</v>
      </c>
      <c r="D83" s="197">
        <v>0.874</v>
      </c>
      <c r="E83" s="197">
        <v>0.879</v>
      </c>
    </row>
    <row r="84" ht="75.75" customHeight="1">
      <c r="A84" s="119"/>
      <c r="B84" s="286" t="s">
        <v>746</v>
      </c>
      <c r="C84" s="260">
        <v>35327.0</v>
      </c>
      <c r="D84" s="260">
        <v>31674.0</v>
      </c>
      <c r="E84" s="260">
        <v>32184.0</v>
      </c>
    </row>
    <row r="85" ht="51.0" customHeight="1">
      <c r="A85" s="119"/>
      <c r="B85" s="286" t="s">
        <v>747</v>
      </c>
      <c r="C85" s="260">
        <v>32488.0</v>
      </c>
      <c r="D85" s="260">
        <v>29124.0</v>
      </c>
      <c r="E85" s="260">
        <v>29947.0</v>
      </c>
    </row>
    <row r="86" ht="51.0" customHeight="1">
      <c r="A86" s="119"/>
      <c r="B86" s="286" t="s">
        <v>748</v>
      </c>
      <c r="C86" s="260">
        <v>6422.0</v>
      </c>
      <c r="D86" s="260">
        <v>6124.0</v>
      </c>
      <c r="E86" s="260">
        <v>4809.0</v>
      </c>
    </row>
    <row r="87" ht="66.75" customHeight="1">
      <c r="A87" s="119"/>
      <c r="B87" s="286" t="s">
        <v>749</v>
      </c>
      <c r="C87" s="260">
        <v>7730.0</v>
      </c>
      <c r="D87" s="260">
        <v>7456.0</v>
      </c>
      <c r="E87" s="260">
        <v>5256.0</v>
      </c>
    </row>
    <row r="89">
      <c r="A89" s="11" t="s">
        <v>750</v>
      </c>
    </row>
    <row r="90">
      <c r="A90" s="2" t="s">
        <v>751</v>
      </c>
    </row>
    <row r="92">
      <c r="A92" s="16" t="s">
        <v>752</v>
      </c>
    </row>
    <row r="93">
      <c r="A93" s="2" t="s">
        <v>753</v>
      </c>
    </row>
    <row r="95">
      <c r="A95" s="284" t="s">
        <v>754</v>
      </c>
    </row>
    <row r="98">
      <c r="C98" s="285" t="s">
        <v>734</v>
      </c>
      <c r="D98" s="285" t="s">
        <v>735</v>
      </c>
      <c r="E98" s="285" t="s">
        <v>736</v>
      </c>
    </row>
    <row r="99" ht="84.75" customHeight="1">
      <c r="B99" s="286" t="s">
        <v>755</v>
      </c>
      <c r="C99" s="219">
        <v>324.0</v>
      </c>
      <c r="D99" s="219">
        <v>2148.0</v>
      </c>
      <c r="E99" s="219">
        <v>120.0</v>
      </c>
    </row>
    <row r="100" ht="84.75" customHeight="1">
      <c r="B100" s="286" t="s">
        <v>756</v>
      </c>
      <c r="C100" s="260">
        <v>9358.0</v>
      </c>
      <c r="D100" s="260">
        <v>7465.0</v>
      </c>
      <c r="E100" s="260">
        <v>8938.0</v>
      </c>
    </row>
    <row r="101" ht="84.75" customHeight="1">
      <c r="B101" s="286" t="s">
        <v>757</v>
      </c>
      <c r="C101" s="219">
        <v>145.0</v>
      </c>
      <c r="D101" s="219">
        <v>593.0</v>
      </c>
      <c r="E101" s="219">
        <v>5.0</v>
      </c>
    </row>
    <row r="102" ht="84.75" customHeight="1">
      <c r="B102" s="286" t="s">
        <v>758</v>
      </c>
      <c r="C102" s="260">
        <v>23274.0</v>
      </c>
      <c r="D102" s="260">
        <v>24905.0</v>
      </c>
      <c r="E102" s="260">
        <v>7381.0</v>
      </c>
    </row>
    <row r="103">
      <c r="A103" s="3" t="s">
        <v>759</v>
      </c>
    </row>
    <row r="105">
      <c r="A105" s="3" t="s">
        <v>760</v>
      </c>
    </row>
    <row r="106">
      <c r="A106" s="2" t="s">
        <v>761</v>
      </c>
    </row>
    <row r="108">
      <c r="A108" s="12" t="s">
        <v>762</v>
      </c>
    </row>
    <row r="109">
      <c r="A109" s="16" t="s">
        <v>763</v>
      </c>
    </row>
    <row r="111">
      <c r="A111" s="3" t="s">
        <v>764</v>
      </c>
    </row>
    <row r="112">
      <c r="A112" s="12" t="s">
        <v>765</v>
      </c>
    </row>
    <row r="113">
      <c r="A113" s="12" t="s">
        <v>766</v>
      </c>
    </row>
    <row r="114">
      <c r="A114" s="12" t="s">
        <v>767</v>
      </c>
    </row>
    <row r="115">
      <c r="A115" s="12" t="s">
        <v>768</v>
      </c>
    </row>
    <row r="116">
      <c r="A116" s="12" t="s">
        <v>769</v>
      </c>
    </row>
    <row r="119">
      <c r="A119" s="11" t="s">
        <v>770</v>
      </c>
    </row>
    <row r="120" ht="48.0" customHeight="1">
      <c r="A120" s="2" t="s">
        <v>771</v>
      </c>
      <c r="D120" s="288">
        <v>6109.0</v>
      </c>
      <c r="E120" s="23"/>
    </row>
    <row r="121">
      <c r="A121" s="23"/>
      <c r="B121" s="23"/>
      <c r="C121" s="23"/>
      <c r="D121" s="23"/>
      <c r="E121" s="23"/>
    </row>
    <row r="122">
      <c r="A122" s="11" t="s">
        <v>772</v>
      </c>
      <c r="B122" s="23"/>
      <c r="C122" s="23"/>
    </row>
    <row r="123">
      <c r="A123" s="2" t="s">
        <v>773</v>
      </c>
    </row>
    <row r="126">
      <c r="A126" s="2" t="s">
        <v>774</v>
      </c>
    </row>
    <row r="129">
      <c r="A129" s="2" t="s">
        <v>775</v>
      </c>
    </row>
    <row r="134">
      <c r="B134" s="104" t="s">
        <v>776</v>
      </c>
      <c r="C134" s="53" t="s">
        <v>777</v>
      </c>
      <c r="D134" s="53" t="s">
        <v>778</v>
      </c>
      <c r="E134" s="53" t="s">
        <v>779</v>
      </c>
    </row>
    <row r="135" ht="93.75" customHeight="1">
      <c r="B135" s="289" t="s">
        <v>780</v>
      </c>
      <c r="C135" s="219">
        <v>1628.0</v>
      </c>
      <c r="D135" s="290">
        <v>0.27</v>
      </c>
      <c r="E135" s="291">
        <v>18367.0</v>
      </c>
    </row>
    <row r="136" ht="78.75" customHeight="1">
      <c r="B136" s="289" t="s">
        <v>781</v>
      </c>
      <c r="C136" s="219">
        <v>1566.0</v>
      </c>
      <c r="D136" s="290">
        <v>0.26</v>
      </c>
      <c r="E136" s="291">
        <v>14119.0</v>
      </c>
    </row>
    <row r="137" ht="46.5" customHeight="1">
      <c r="B137" s="292" t="s">
        <v>782</v>
      </c>
      <c r="C137" s="219">
        <v>569.0</v>
      </c>
      <c r="D137" s="290">
        <v>0.09</v>
      </c>
      <c r="E137" s="291">
        <v>1775.0</v>
      </c>
    </row>
    <row r="138" ht="46.5" customHeight="1">
      <c r="B138" s="292" t="s">
        <v>783</v>
      </c>
      <c r="C138" s="219">
        <v>15.0</v>
      </c>
      <c r="D138" s="290">
        <v>0.0</v>
      </c>
      <c r="E138" s="291">
        <v>4846.0</v>
      </c>
    </row>
    <row r="139" ht="46.5" customHeight="1">
      <c r="B139" s="292" t="s">
        <v>784</v>
      </c>
      <c r="C139" s="219">
        <v>141.0</v>
      </c>
      <c r="D139" s="290">
        <v>0.02</v>
      </c>
      <c r="E139" s="291">
        <v>47580.0</v>
      </c>
    </row>
    <row r="140" ht="28.5" customHeight="1">
      <c r="B140" s="293"/>
      <c r="C140" s="80"/>
      <c r="D140" s="294"/>
      <c r="E140" s="295"/>
    </row>
    <row r="142">
      <c r="A142" s="11" t="s">
        <v>785</v>
      </c>
    </row>
    <row r="143">
      <c r="A143" s="4" t="s">
        <v>786</v>
      </c>
      <c r="D143" s="80"/>
    </row>
    <row r="144">
      <c r="B144" s="296" t="s">
        <v>787</v>
      </c>
      <c r="C144" s="158" t="str">
        <f>B44</f>
        <v>2023-2024 Estimated</v>
      </c>
    </row>
    <row r="146">
      <c r="A146" s="4" t="s">
        <v>788</v>
      </c>
    </row>
    <row r="147">
      <c r="A147" s="297" t="s">
        <v>299</v>
      </c>
      <c r="B147" s="155" t="s">
        <v>789</v>
      </c>
    </row>
    <row r="154" ht="46.5" customHeight="1">
      <c r="A154" s="2" t="s">
        <v>790</v>
      </c>
      <c r="D154" s="298"/>
      <c r="E154" s="23"/>
    </row>
    <row r="155">
      <c r="A155" s="23"/>
      <c r="B155" s="23"/>
      <c r="C155" s="23"/>
      <c r="D155" s="23"/>
      <c r="E155" s="23"/>
    </row>
    <row r="156" ht="46.5" customHeight="1">
      <c r="A156" s="2" t="s">
        <v>791</v>
      </c>
      <c r="D156" s="246"/>
    </row>
    <row r="157">
      <c r="A157" s="23"/>
      <c r="B157" s="23"/>
      <c r="C157" s="23"/>
    </row>
    <row r="158" ht="48.75" customHeight="1">
      <c r="A158" s="2" t="s">
        <v>792</v>
      </c>
      <c r="D158" s="246"/>
    </row>
    <row r="160">
      <c r="A160" s="11" t="s">
        <v>793</v>
      </c>
    </row>
    <row r="161">
      <c r="A161" s="4" t="s">
        <v>794</v>
      </c>
    </row>
    <row r="162">
      <c r="A162" s="299"/>
      <c r="B162" s="155" t="s">
        <v>795</v>
      </c>
    </row>
    <row r="163">
      <c r="A163" s="299"/>
      <c r="B163" s="155" t="s">
        <v>796</v>
      </c>
    </row>
    <row r="164">
      <c r="A164" s="299"/>
      <c r="B164" s="155" t="s">
        <v>252</v>
      </c>
    </row>
    <row r="167">
      <c r="C167" s="89" t="s">
        <v>797</v>
      </c>
      <c r="D167" s="148"/>
    </row>
    <row r="168">
      <c r="A168" s="89"/>
    </row>
    <row r="169">
      <c r="A169" s="11" t="s">
        <v>798</v>
      </c>
    </row>
    <row r="170">
      <c r="A170" s="4" t="s">
        <v>799</v>
      </c>
    </row>
    <row r="171">
      <c r="A171" s="297" t="s">
        <v>800</v>
      </c>
      <c r="B171" s="155" t="s">
        <v>801</v>
      </c>
    </row>
    <row r="172">
      <c r="A172" s="300"/>
      <c r="B172" s="155" t="s">
        <v>802</v>
      </c>
    </row>
    <row r="173">
      <c r="A173" s="300"/>
      <c r="B173" s="155" t="s">
        <v>803</v>
      </c>
    </row>
    <row r="174">
      <c r="A174" s="297" t="s">
        <v>800</v>
      </c>
      <c r="B174" s="155" t="s">
        <v>804</v>
      </c>
    </row>
    <row r="175">
      <c r="A175" s="300"/>
      <c r="B175" s="155" t="s">
        <v>805</v>
      </c>
    </row>
    <row r="176">
      <c r="A176" s="300"/>
      <c r="B176" s="155" t="s">
        <v>806</v>
      </c>
    </row>
    <row r="178">
      <c r="B178" s="89" t="s">
        <v>797</v>
      </c>
      <c r="C178" s="148"/>
    </row>
    <row r="181">
      <c r="A181" s="11" t="s">
        <v>807</v>
      </c>
    </row>
    <row r="183">
      <c r="A183" s="301" t="s">
        <v>808</v>
      </c>
      <c r="D183" s="210" t="s">
        <v>33</v>
      </c>
    </row>
    <row r="184">
      <c r="A184" s="26" t="s">
        <v>809</v>
      </c>
      <c r="B184" s="26"/>
      <c r="D184" s="4"/>
    </row>
    <row r="185">
      <c r="A185" s="301"/>
      <c r="D185" s="4"/>
    </row>
    <row r="186">
      <c r="A186" s="4" t="s">
        <v>810</v>
      </c>
      <c r="C186" s="302">
        <v>45353.0</v>
      </c>
    </row>
    <row r="188">
      <c r="A188" s="4" t="s">
        <v>811</v>
      </c>
      <c r="C188" s="302">
        <v>45353.0</v>
      </c>
    </row>
    <row r="190">
      <c r="A190" s="11" t="s">
        <v>812</v>
      </c>
    </row>
    <row r="191">
      <c r="A191" s="4" t="s">
        <v>813</v>
      </c>
    </row>
    <row r="193">
      <c r="A193" s="4" t="s">
        <v>814</v>
      </c>
      <c r="C193" s="302">
        <v>45382.0</v>
      </c>
    </row>
    <row r="195">
      <c r="A195" s="4" t="s">
        <v>815</v>
      </c>
      <c r="C195" s="199"/>
    </row>
    <row r="197">
      <c r="A197" s="11" t="s">
        <v>816</v>
      </c>
    </row>
    <row r="199">
      <c r="B199" s="4" t="s">
        <v>817</v>
      </c>
      <c r="C199" s="303">
        <v>45413.0</v>
      </c>
    </row>
    <row r="200">
      <c r="B200" s="4" t="s">
        <v>818</v>
      </c>
      <c r="C200" s="304"/>
    </row>
    <row r="201">
      <c r="A201" s="11" t="s">
        <v>819</v>
      </c>
    </row>
    <row r="202">
      <c r="A202" s="4" t="s">
        <v>820</v>
      </c>
    </row>
    <row r="203">
      <c r="A203" s="297" t="s">
        <v>800</v>
      </c>
      <c r="B203" s="155" t="s">
        <v>821</v>
      </c>
    </row>
    <row r="204">
      <c r="A204" s="297" t="s">
        <v>800</v>
      </c>
      <c r="B204" s="155" t="s">
        <v>822</v>
      </c>
    </row>
    <row r="205">
      <c r="A205" s="297" t="s">
        <v>800</v>
      </c>
      <c r="B205" s="155" t="s">
        <v>823</v>
      </c>
    </row>
    <row r="206">
      <c r="A206" s="300"/>
      <c r="B206" s="155" t="s">
        <v>824</v>
      </c>
    </row>
    <row r="207">
      <c r="A207" s="300"/>
      <c r="B207" s="155" t="s">
        <v>825</v>
      </c>
    </row>
    <row r="208">
      <c r="A208" s="297" t="s">
        <v>800</v>
      </c>
      <c r="B208" s="155" t="s">
        <v>826</v>
      </c>
    </row>
    <row r="209">
      <c r="A209" s="297" t="s">
        <v>800</v>
      </c>
      <c r="B209" s="155" t="s">
        <v>827</v>
      </c>
    </row>
    <row r="210">
      <c r="D210" s="89" t="s">
        <v>828</v>
      </c>
      <c r="E210" s="148"/>
    </row>
    <row r="212">
      <c r="A212" s="11" t="s">
        <v>829</v>
      </c>
    </row>
    <row r="213">
      <c r="A213" s="4" t="s">
        <v>820</v>
      </c>
    </row>
    <row r="214">
      <c r="A214" s="297" t="s">
        <v>800</v>
      </c>
      <c r="B214" s="155" t="s">
        <v>830</v>
      </c>
    </row>
    <row r="215">
      <c r="A215" s="297" t="s">
        <v>800</v>
      </c>
      <c r="B215" s="155" t="s">
        <v>831</v>
      </c>
    </row>
    <row r="216">
      <c r="A216" s="297" t="s">
        <v>800</v>
      </c>
      <c r="B216" s="155" t="s">
        <v>832</v>
      </c>
    </row>
    <row r="217">
      <c r="A217" s="297" t="s">
        <v>800</v>
      </c>
      <c r="B217" s="155" t="s">
        <v>833</v>
      </c>
    </row>
    <row r="218">
      <c r="A218" s="297" t="s">
        <v>800</v>
      </c>
      <c r="B218" s="155" t="s">
        <v>834</v>
      </c>
    </row>
    <row r="219">
      <c r="A219" s="300"/>
      <c r="B219" s="155" t="s">
        <v>835</v>
      </c>
    </row>
    <row r="220">
      <c r="A220" s="300"/>
      <c r="B220" s="155" t="s">
        <v>836</v>
      </c>
    </row>
    <row r="221">
      <c r="C221" s="89" t="s">
        <v>828</v>
      </c>
      <c r="D221" s="37"/>
    </row>
    <row r="223" ht="6.75" customHeight="1"/>
    <row r="224">
      <c r="A224" s="11" t="s">
        <v>837</v>
      </c>
    </row>
    <row r="225">
      <c r="A225" s="4" t="s">
        <v>838</v>
      </c>
    </row>
    <row r="226">
      <c r="A226" s="305"/>
      <c r="B226" s="51"/>
      <c r="C226" s="306" t="s">
        <v>839</v>
      </c>
    </row>
    <row r="227">
      <c r="A227" s="307" t="s">
        <v>840</v>
      </c>
      <c r="B227" s="308"/>
      <c r="C227" s="309" t="s">
        <v>800</v>
      </c>
    </row>
    <row r="228">
      <c r="A228" s="307" t="s">
        <v>841</v>
      </c>
      <c r="B228" s="308"/>
      <c r="C228" s="310"/>
    </row>
    <row r="229">
      <c r="A229" s="307" t="s">
        <v>842</v>
      </c>
      <c r="B229" s="308"/>
      <c r="C229" s="310"/>
    </row>
    <row r="230">
      <c r="A230" s="307" t="s">
        <v>843</v>
      </c>
      <c r="B230" s="308"/>
      <c r="C230" s="309" t="s">
        <v>800</v>
      </c>
    </row>
    <row r="231">
      <c r="A231" s="307" t="s">
        <v>844</v>
      </c>
      <c r="B231" s="308"/>
      <c r="C231" s="310"/>
    </row>
    <row r="232">
      <c r="A232" s="307" t="s">
        <v>845</v>
      </c>
      <c r="B232" s="308"/>
      <c r="C232" s="310"/>
    </row>
    <row r="233">
      <c r="A233" s="307" t="s">
        <v>846</v>
      </c>
      <c r="B233" s="308"/>
      <c r="C233" s="309" t="s">
        <v>800</v>
      </c>
    </row>
    <row r="234">
      <c r="A234" s="307" t="s">
        <v>847</v>
      </c>
      <c r="B234" s="308"/>
      <c r="C234" s="310"/>
    </row>
    <row r="235">
      <c r="A235" s="307" t="s">
        <v>848</v>
      </c>
      <c r="B235" s="308"/>
      <c r="C235" s="310"/>
    </row>
    <row r="236">
      <c r="A236" s="307" t="s">
        <v>849</v>
      </c>
      <c r="B236" s="308"/>
      <c r="C236" s="310"/>
    </row>
    <row r="237">
      <c r="A237" s="307" t="s">
        <v>850</v>
      </c>
      <c r="B237" s="308"/>
      <c r="C237" s="310"/>
    </row>
    <row r="239">
      <c r="A239" s="11" t="s">
        <v>837</v>
      </c>
    </row>
    <row r="240">
      <c r="A240" s="4" t="s">
        <v>851</v>
      </c>
    </row>
    <row r="241">
      <c r="A241" s="305"/>
      <c r="B241" s="51"/>
      <c r="C241" s="306" t="s">
        <v>852</v>
      </c>
    </row>
    <row r="242">
      <c r="A242" s="307" t="s">
        <v>840</v>
      </c>
      <c r="B242" s="308"/>
      <c r="C242" s="309" t="s">
        <v>800</v>
      </c>
    </row>
    <row r="243">
      <c r="A243" s="307" t="s">
        <v>841</v>
      </c>
      <c r="B243" s="308"/>
      <c r="C243" s="310"/>
    </row>
    <row r="244">
      <c r="A244" s="307" t="s">
        <v>842</v>
      </c>
      <c r="B244" s="308"/>
      <c r="C244" s="310"/>
    </row>
    <row r="245">
      <c r="A245" s="307" t="s">
        <v>843</v>
      </c>
      <c r="B245" s="308"/>
      <c r="C245" s="310"/>
    </row>
    <row r="246">
      <c r="A246" s="307" t="s">
        <v>844</v>
      </c>
      <c r="B246" s="308"/>
      <c r="C246" s="310"/>
    </row>
    <row r="247">
      <c r="A247" s="307" t="s">
        <v>845</v>
      </c>
      <c r="B247" s="308"/>
      <c r="C247" s="310"/>
    </row>
    <row r="248">
      <c r="A248" s="307" t="s">
        <v>846</v>
      </c>
      <c r="B248" s="308"/>
      <c r="C248" s="310"/>
    </row>
    <row r="249">
      <c r="A249" s="307" t="s">
        <v>847</v>
      </c>
      <c r="B249" s="308"/>
      <c r="C249" s="310"/>
    </row>
    <row r="250">
      <c r="A250" s="307" t="s">
        <v>848</v>
      </c>
      <c r="B250" s="308"/>
      <c r="C250" s="310"/>
    </row>
    <row r="251">
      <c r="A251" s="307" t="s">
        <v>849</v>
      </c>
      <c r="B251" s="308"/>
      <c r="C251" s="310"/>
    </row>
    <row r="252">
      <c r="A252" s="307" t="s">
        <v>850</v>
      </c>
      <c r="B252" s="308"/>
      <c r="C252" s="309" t="s">
        <v>800</v>
      </c>
    </row>
    <row r="254">
      <c r="A254" s="11" t="s">
        <v>853</v>
      </c>
    </row>
    <row r="256" ht="15.75" customHeight="1">
      <c r="A256" s="2" t="s">
        <v>854</v>
      </c>
    </row>
    <row r="259" ht="187.5" customHeight="1">
      <c r="B259" s="148"/>
    </row>
    <row r="262">
      <c r="A262" s="45" t="s">
        <v>855</v>
      </c>
      <c r="B262" s="9"/>
      <c r="C262" s="9"/>
      <c r="D262" s="9"/>
      <c r="E262" s="10"/>
      <c r="F262" s="11"/>
      <c r="G262" s="11"/>
    </row>
  </sheetData>
  <mergeCells count="63">
    <mergeCell ref="A248:B248"/>
    <mergeCell ref="A249:B249"/>
    <mergeCell ref="A250:B250"/>
    <mergeCell ref="A251:B251"/>
    <mergeCell ref="A252:B252"/>
    <mergeCell ref="A256:E258"/>
    <mergeCell ref="A262:E262"/>
    <mergeCell ref="A241:B241"/>
    <mergeCell ref="A242:B242"/>
    <mergeCell ref="A243:B243"/>
    <mergeCell ref="A244:B244"/>
    <mergeCell ref="A245:B245"/>
    <mergeCell ref="A246:B246"/>
    <mergeCell ref="A247:B247"/>
    <mergeCell ref="A2:E2"/>
    <mergeCell ref="A3:E9"/>
    <mergeCell ref="A10:E29"/>
    <mergeCell ref="A32:E33"/>
    <mergeCell ref="A34:E35"/>
    <mergeCell ref="A36:E36"/>
    <mergeCell ref="A37:E37"/>
    <mergeCell ref="A38:E39"/>
    <mergeCell ref="A41:E41"/>
    <mergeCell ref="A50:B50"/>
    <mergeCell ref="A51:A55"/>
    <mergeCell ref="A56:A59"/>
    <mergeCell ref="A60:A62"/>
    <mergeCell ref="A66:E67"/>
    <mergeCell ref="A68:E68"/>
    <mergeCell ref="A69:E69"/>
    <mergeCell ref="A70:E71"/>
    <mergeCell ref="A72:E72"/>
    <mergeCell ref="A90:E91"/>
    <mergeCell ref="A92:E92"/>
    <mergeCell ref="A93:E94"/>
    <mergeCell ref="A95:E95"/>
    <mergeCell ref="A106:E107"/>
    <mergeCell ref="A108:E108"/>
    <mergeCell ref="A109:E109"/>
    <mergeCell ref="A112:E112"/>
    <mergeCell ref="A113:E113"/>
    <mergeCell ref="A114:E114"/>
    <mergeCell ref="A115:E115"/>
    <mergeCell ref="A116:E116"/>
    <mergeCell ref="A120:C120"/>
    <mergeCell ref="A123:E124"/>
    <mergeCell ref="A126:E127"/>
    <mergeCell ref="A129:E131"/>
    <mergeCell ref="A154:C154"/>
    <mergeCell ref="A156:C156"/>
    <mergeCell ref="A158:C158"/>
    <mergeCell ref="A226:B226"/>
    <mergeCell ref="A227:B227"/>
    <mergeCell ref="A228:B228"/>
    <mergeCell ref="A229:B229"/>
    <mergeCell ref="A230:B230"/>
    <mergeCell ref="A231:B231"/>
    <mergeCell ref="A232:B232"/>
    <mergeCell ref="A233:B233"/>
    <mergeCell ref="A234:B234"/>
    <mergeCell ref="A235:B235"/>
    <mergeCell ref="A236:B236"/>
    <mergeCell ref="A237:B237"/>
  </mergeCells>
  <dataValidations>
    <dataValidation type="list" allowBlank="1" showErrorMessage="1" sqref="B49">
      <formula1>$G$46:$G$48</formula1>
    </dataValidation>
    <dataValidation type="list" allowBlank="1" showErrorMessage="1" sqref="D183">
      <formula1>validations!$A$1:$A$2</formula1>
    </dataValidation>
    <dataValidation type="list" allowBlank="1" showErrorMessage="1" sqref="D184:D185">
      <formula1>$F$183:$F$185</formula1>
    </dataValidation>
    <dataValidation type="list" allowBlank="1" showErrorMessage="1" sqref="B44">
      <formula1>validations!$S$1:$S$2</formula1>
    </dataValidation>
    <dataValidation type="list" allowBlank="1" showErrorMessage="1" sqref="B48">
      <formula1>validations!$T$1:$T$3</formula1>
    </dataValidation>
  </dataValidations>
  <printOptions/>
  <pageMargins bottom="0.75" footer="0.0" header="0.0" left="0.7" right="0.7" top="0.75"/>
  <pageSetup orientation="landscape"/>
  <headerFooter>
    <oddHeader>&amp;LC00000*To be included in the May 2024 release &amp;C   </oddHeader>
    <oddFooter>&amp;C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0"/>
    <col customWidth="1" min="2" max="2" width="67.0"/>
    <col customWidth="1" min="3" max="26" width="11.0"/>
  </cols>
  <sheetData>
    <row r="1" ht="18.75" customHeight="1">
      <c r="A1" s="8" t="s">
        <v>856</v>
      </c>
      <c r="B1" s="9"/>
      <c r="C1" s="9"/>
      <c r="D1" s="9"/>
      <c r="E1" s="9"/>
      <c r="F1" s="10"/>
    </row>
    <row r="2">
      <c r="A2" s="11" t="s">
        <v>857</v>
      </c>
    </row>
    <row r="3" ht="117.0" customHeight="1">
      <c r="A3" s="98" t="s">
        <v>858</v>
      </c>
    </row>
    <row r="4">
      <c r="B4" s="49"/>
      <c r="C4" s="311" t="s">
        <v>859</v>
      </c>
      <c r="D4" s="51"/>
      <c r="E4" s="311" t="s">
        <v>860</v>
      </c>
      <c r="F4" s="51"/>
    </row>
    <row r="5" ht="58.5" customHeight="1">
      <c r="B5" s="286" t="s">
        <v>861</v>
      </c>
      <c r="C5" s="312" t="s">
        <v>862</v>
      </c>
      <c r="D5" s="51"/>
      <c r="E5" s="312" t="s">
        <v>863</v>
      </c>
      <c r="F5" s="51"/>
    </row>
    <row r="6">
      <c r="B6" s="52" t="s">
        <v>864</v>
      </c>
      <c r="C6" s="312" t="s">
        <v>862</v>
      </c>
      <c r="D6" s="51"/>
      <c r="E6" s="312" t="s">
        <v>863</v>
      </c>
      <c r="F6" s="51"/>
    </row>
    <row r="7">
      <c r="B7" s="52" t="s">
        <v>865</v>
      </c>
      <c r="C7" s="312" t="s">
        <v>862</v>
      </c>
      <c r="D7" s="51"/>
      <c r="E7" s="312" t="s">
        <v>866</v>
      </c>
      <c r="F7" s="51"/>
    </row>
    <row r="8">
      <c r="B8" s="52" t="s">
        <v>867</v>
      </c>
      <c r="C8" s="312" t="s">
        <v>862</v>
      </c>
      <c r="D8" s="51"/>
      <c r="E8" s="312" t="s">
        <v>862</v>
      </c>
      <c r="F8" s="51"/>
    </row>
    <row r="9">
      <c r="B9" s="52" t="s">
        <v>868</v>
      </c>
      <c r="C9" s="312" t="s">
        <v>869</v>
      </c>
      <c r="D9" s="51"/>
      <c r="E9" s="312" t="s">
        <v>862</v>
      </c>
      <c r="F9" s="51"/>
    </row>
    <row r="10">
      <c r="B10" s="52" t="s">
        <v>870</v>
      </c>
      <c r="C10" s="312" t="s">
        <v>862</v>
      </c>
      <c r="D10" s="51"/>
      <c r="E10" s="312" t="s">
        <v>862</v>
      </c>
      <c r="F10" s="51"/>
    </row>
    <row r="11">
      <c r="B11" s="52" t="s">
        <v>871</v>
      </c>
      <c r="C11" s="312" t="s">
        <v>862</v>
      </c>
      <c r="D11" s="51"/>
      <c r="E11" s="313" t="s">
        <v>869</v>
      </c>
      <c r="F11" s="51"/>
    </row>
    <row r="12" ht="108.0" customHeight="1">
      <c r="A12" s="314" t="s">
        <v>872</v>
      </c>
    </row>
    <row r="13" ht="175.5" customHeight="1">
      <c r="A13" s="315" t="s">
        <v>873</v>
      </c>
    </row>
    <row r="14">
      <c r="B14" s="49"/>
      <c r="C14" s="29" t="s">
        <v>859</v>
      </c>
      <c r="D14" s="29" t="s">
        <v>860</v>
      </c>
      <c r="E14" s="29" t="s">
        <v>141</v>
      </c>
    </row>
    <row r="15" ht="25.5" customHeight="1">
      <c r="B15" s="316" t="s">
        <v>874</v>
      </c>
      <c r="C15" s="287">
        <v>1971.0</v>
      </c>
      <c r="D15" s="287">
        <v>980.0</v>
      </c>
      <c r="E15" s="287">
        <v>2951.0</v>
      </c>
    </row>
    <row r="16" ht="28.5" customHeight="1">
      <c r="B16" s="316" t="s">
        <v>875</v>
      </c>
      <c r="C16" s="287">
        <v>565.0</v>
      </c>
      <c r="D16" s="287">
        <v>253.0</v>
      </c>
      <c r="E16" s="287">
        <v>818.0</v>
      </c>
    </row>
    <row r="17" ht="27.0" customHeight="1">
      <c r="B17" s="316" t="s">
        <v>876</v>
      </c>
      <c r="C17" s="287">
        <v>853.0</v>
      </c>
      <c r="D17" s="287">
        <v>440.0</v>
      </c>
      <c r="E17" s="287">
        <v>1293.0</v>
      </c>
    </row>
    <row r="18" ht="24.0" customHeight="1">
      <c r="B18" s="316" t="s">
        <v>877</v>
      </c>
      <c r="C18" s="287">
        <v>1118.0</v>
      </c>
      <c r="D18" s="287">
        <v>540.0</v>
      </c>
      <c r="E18" s="287">
        <v>1658.0</v>
      </c>
    </row>
    <row r="19" ht="33.75" customHeight="1">
      <c r="B19" s="316" t="s">
        <v>878</v>
      </c>
      <c r="C19" s="287">
        <v>103.0</v>
      </c>
      <c r="D19" s="287">
        <v>28.0</v>
      </c>
      <c r="E19" s="287">
        <v>131.0</v>
      </c>
    </row>
    <row r="20" ht="33.75" customHeight="1">
      <c r="B20" s="316" t="s">
        <v>879</v>
      </c>
      <c r="C20" s="162"/>
      <c r="D20" s="162"/>
      <c r="E20" s="162"/>
    </row>
    <row r="21" ht="33.75" customHeight="1">
      <c r="B21" s="286" t="s">
        <v>880</v>
      </c>
      <c r="C21" s="162"/>
      <c r="D21" s="162"/>
      <c r="E21" s="162"/>
    </row>
    <row r="22" ht="33.75" customHeight="1">
      <c r="B22" s="316" t="s">
        <v>881</v>
      </c>
      <c r="C22" s="162"/>
      <c r="D22" s="162"/>
      <c r="E22" s="162"/>
    </row>
    <row r="23" ht="33.75" customHeight="1">
      <c r="B23" s="316" t="s">
        <v>882</v>
      </c>
      <c r="C23" s="162"/>
      <c r="D23" s="162"/>
      <c r="E23" s="162"/>
    </row>
    <row r="24" ht="33.75" customHeight="1">
      <c r="B24" s="317" t="s">
        <v>883</v>
      </c>
      <c r="C24" s="162"/>
      <c r="D24" s="162"/>
      <c r="E24" s="162"/>
    </row>
    <row r="25">
      <c r="B25" s="318" t="s">
        <v>884</v>
      </c>
    </row>
    <row r="26">
      <c r="B26" s="193" t="s">
        <v>148</v>
      </c>
    </row>
    <row r="27" ht="27.0" customHeight="1">
      <c r="A27" s="319" t="s">
        <v>885</v>
      </c>
    </row>
    <row r="28" ht="102.75" customHeight="1">
      <c r="A28" s="95" t="s">
        <v>886</v>
      </c>
    </row>
    <row r="30">
      <c r="B30" s="89" t="s">
        <v>887</v>
      </c>
      <c r="C30" s="320">
        <v>18.69</v>
      </c>
      <c r="D30" s="80" t="s">
        <v>888</v>
      </c>
      <c r="E30" s="80">
        <v>1.0</v>
      </c>
    </row>
    <row r="32">
      <c r="B32" s="89" t="s">
        <v>889</v>
      </c>
      <c r="C32" s="287">
        <v>42943.0</v>
      </c>
    </row>
    <row r="34">
      <c r="B34" s="89" t="s">
        <v>890</v>
      </c>
      <c r="C34" s="287">
        <v>2298.0</v>
      </c>
    </row>
    <row r="35">
      <c r="B35" s="193" t="s">
        <v>148</v>
      </c>
    </row>
    <row r="36">
      <c r="A36" s="319" t="s">
        <v>891</v>
      </c>
    </row>
    <row r="37" ht="250.5" customHeight="1">
      <c r="A37" s="95" t="s">
        <v>892</v>
      </c>
    </row>
    <row r="38" ht="67.5" customHeight="1">
      <c r="A38" s="95" t="s">
        <v>893</v>
      </c>
    </row>
    <row r="39" ht="36.0" customHeight="1">
      <c r="A39" s="321" t="s">
        <v>894</v>
      </c>
      <c r="C39" s="73" t="s">
        <v>895</v>
      </c>
      <c r="E39" s="73" t="s">
        <v>896</v>
      </c>
    </row>
    <row r="40">
      <c r="B40" s="322" t="s">
        <v>897</v>
      </c>
      <c r="C40" s="162">
        <v>648.0</v>
      </c>
      <c r="E40" s="162">
        <v>101.0</v>
      </c>
    </row>
    <row r="41">
      <c r="B41" s="322" t="s">
        <v>898</v>
      </c>
      <c r="C41" s="162">
        <v>901.0</v>
      </c>
      <c r="E41" s="162">
        <v>647.0</v>
      </c>
    </row>
    <row r="42">
      <c r="B42" s="322" t="s">
        <v>899</v>
      </c>
      <c r="C42" s="162">
        <v>415.0</v>
      </c>
      <c r="E42" s="162">
        <v>1538.0</v>
      </c>
    </row>
    <row r="43">
      <c r="B43" s="322" t="s">
        <v>900</v>
      </c>
      <c r="C43" s="162">
        <v>266.0</v>
      </c>
      <c r="E43" s="162">
        <v>578.0</v>
      </c>
    </row>
    <row r="44">
      <c r="B44" s="322" t="s">
        <v>901</v>
      </c>
      <c r="C44" s="162">
        <v>196.0</v>
      </c>
      <c r="E44" s="162">
        <v>98.0</v>
      </c>
    </row>
    <row r="45">
      <c r="B45" s="322" t="s">
        <v>902</v>
      </c>
      <c r="C45" s="162">
        <v>281.0</v>
      </c>
      <c r="E45" s="162">
        <v>70.0</v>
      </c>
    </row>
    <row r="46">
      <c r="B46" s="322" t="s">
        <v>903</v>
      </c>
      <c r="C46" s="162">
        <v>338.0</v>
      </c>
      <c r="E46" s="162">
        <v>51.0</v>
      </c>
    </row>
    <row r="47">
      <c r="B47" s="322" t="s">
        <v>141</v>
      </c>
      <c r="C47" s="323">
        <f>SUM(C40:C46)</f>
        <v>3045</v>
      </c>
      <c r="D47" s="161"/>
      <c r="E47" s="323">
        <f>SUM(E40:E46)</f>
        <v>3083</v>
      </c>
    </row>
    <row r="48">
      <c r="B48" s="324"/>
    </row>
    <row r="49">
      <c r="A49" s="45" t="s">
        <v>904</v>
      </c>
      <c r="B49" s="9"/>
      <c r="C49" s="9"/>
      <c r="D49" s="9"/>
      <c r="E49" s="9"/>
      <c r="F49" s="10"/>
    </row>
    <row r="50">
      <c r="B50" s="324"/>
    </row>
    <row r="51">
      <c r="B51" s="324"/>
    </row>
    <row r="52">
      <c r="B52" s="324"/>
    </row>
    <row r="53">
      <c r="B53" s="324"/>
    </row>
    <row r="54">
      <c r="B54" s="324"/>
    </row>
    <row r="55">
      <c r="B55" s="324"/>
    </row>
    <row r="56">
      <c r="B56" s="324"/>
    </row>
    <row r="57">
      <c r="B57" s="324"/>
    </row>
    <row r="58">
      <c r="B58" s="324"/>
    </row>
    <row r="59">
      <c r="B59" s="324"/>
    </row>
    <row r="60">
      <c r="B60" s="324"/>
    </row>
    <row r="61">
      <c r="B61" s="325"/>
    </row>
  </sheetData>
  <mergeCells count="25">
    <mergeCell ref="A1:F1"/>
    <mergeCell ref="A3:F3"/>
    <mergeCell ref="C4:D4"/>
    <mergeCell ref="E4:F4"/>
    <mergeCell ref="C5:D5"/>
    <mergeCell ref="E5:F5"/>
    <mergeCell ref="E6:F6"/>
    <mergeCell ref="C6:D6"/>
    <mergeCell ref="C7:D7"/>
    <mergeCell ref="E7:F7"/>
    <mergeCell ref="C8:D8"/>
    <mergeCell ref="E8:F8"/>
    <mergeCell ref="C9:D9"/>
    <mergeCell ref="E9:F9"/>
    <mergeCell ref="A37:F37"/>
    <mergeCell ref="A38:F38"/>
    <mergeCell ref="A39:B39"/>
    <mergeCell ref="A49:F49"/>
    <mergeCell ref="C10:D10"/>
    <mergeCell ref="E10:F10"/>
    <mergeCell ref="C11:D11"/>
    <mergeCell ref="E11:F11"/>
    <mergeCell ref="A12:F12"/>
    <mergeCell ref="A13:F13"/>
    <mergeCell ref="A28:F28"/>
  </mergeCells>
  <printOptions/>
  <pageMargins bottom="0.75" footer="0.0" header="0.0" left="0.7" right="0.7" top="0.75"/>
  <pageSetup orientation="landscape"/>
  <headerFooter>
    <oddHeader>&amp;C000000    </oddHeader>
    <oddFooter>&amp;C    </oddFooter>
  </headerFooter>
  <rowBreaks count="1" manualBreakCount="1">
    <brk id="35"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4.0"/>
    <col customWidth="1" min="2" max="5" width="14.44"/>
    <col customWidth="1" min="6" max="26" width="10.56"/>
  </cols>
  <sheetData>
    <row r="1" ht="18.75" customHeight="1">
      <c r="A1" s="8" t="s">
        <v>905</v>
      </c>
      <c r="B1" s="9"/>
      <c r="C1" s="9"/>
      <c r="D1" s="9"/>
      <c r="E1" s="10"/>
    </row>
    <row r="2"/>
    <row r="3">
      <c r="A3" s="3" t="s">
        <v>906</v>
      </c>
    </row>
    <row r="4"/>
    <row r="5" ht="93.75" customHeight="1">
      <c r="A5" s="95" t="s">
        <v>907</v>
      </c>
    </row>
    <row r="6"/>
    <row r="7"/>
    <row r="8">
      <c r="A8" s="282" t="s">
        <v>908</v>
      </c>
      <c r="B8" s="326" t="s">
        <v>909</v>
      </c>
      <c r="C8" s="282" t="s">
        <v>78</v>
      </c>
      <c r="D8" s="282" t="s">
        <v>84</v>
      </c>
      <c r="E8" s="326" t="s">
        <v>910</v>
      </c>
    </row>
    <row r="9">
      <c r="A9" s="327" t="s">
        <v>911</v>
      </c>
      <c r="B9" s="195"/>
      <c r="C9" s="195"/>
      <c r="D9" s="170"/>
      <c r="E9" s="328" t="s">
        <v>912</v>
      </c>
    </row>
    <row r="10">
      <c r="A10" s="327" t="s">
        <v>913</v>
      </c>
      <c r="B10" s="195"/>
      <c r="C10" s="195"/>
      <c r="D10" s="195">
        <v>4.46</v>
      </c>
      <c r="E10" s="328" t="s">
        <v>914</v>
      </c>
    </row>
    <row r="11">
      <c r="A11" s="327" t="s">
        <v>915</v>
      </c>
      <c r="B11" s="195"/>
      <c r="C11" s="195"/>
      <c r="D11" s="195">
        <v>1.36</v>
      </c>
      <c r="E11" s="328" t="s">
        <v>916</v>
      </c>
    </row>
    <row r="12">
      <c r="A12" s="327" t="s">
        <v>917</v>
      </c>
      <c r="B12" s="195"/>
      <c r="C12" s="195"/>
      <c r="D12" s="195">
        <v>1.61</v>
      </c>
      <c r="E12" s="328" t="s">
        <v>918</v>
      </c>
    </row>
    <row r="13">
      <c r="A13" s="327" t="s">
        <v>919</v>
      </c>
      <c r="B13" s="195"/>
      <c r="C13" s="195"/>
      <c r="D13" s="195">
        <v>2.5</v>
      </c>
      <c r="E13" s="328" t="s">
        <v>920</v>
      </c>
    </row>
    <row r="14">
      <c r="A14" s="327" t="s">
        <v>921</v>
      </c>
      <c r="B14" s="195"/>
      <c r="C14" s="195"/>
      <c r="D14" s="195"/>
      <c r="E14" s="329">
        <v>10.0</v>
      </c>
    </row>
    <row r="15">
      <c r="A15" s="327" t="s">
        <v>922</v>
      </c>
      <c r="B15" s="195"/>
      <c r="C15" s="195"/>
      <c r="D15" s="195">
        <v>16.46</v>
      </c>
      <c r="E15" s="329">
        <v>11.0</v>
      </c>
    </row>
    <row r="16">
      <c r="A16" s="327" t="s">
        <v>923</v>
      </c>
      <c r="B16" s="195"/>
      <c r="C16" s="195"/>
      <c r="D16" s="195"/>
      <c r="E16" s="329">
        <v>12.0</v>
      </c>
    </row>
    <row r="17">
      <c r="A17" s="327" t="s">
        <v>924</v>
      </c>
      <c r="B17" s="195"/>
      <c r="C17" s="195"/>
      <c r="D17" s="195"/>
      <c r="E17" s="329">
        <v>13.0</v>
      </c>
    </row>
    <row r="18">
      <c r="A18" s="327" t="s">
        <v>925</v>
      </c>
      <c r="B18" s="195"/>
      <c r="C18" s="195"/>
      <c r="D18" s="195">
        <v>10.97</v>
      </c>
      <c r="E18" s="329">
        <v>14.0</v>
      </c>
    </row>
    <row r="19">
      <c r="A19" s="327" t="s">
        <v>926</v>
      </c>
      <c r="B19" s="195"/>
      <c r="C19" s="195"/>
      <c r="D19" s="195"/>
      <c r="E19" s="329">
        <v>15.0</v>
      </c>
    </row>
    <row r="20">
      <c r="A20" s="327" t="s">
        <v>927</v>
      </c>
      <c r="B20" s="195"/>
      <c r="C20" s="195"/>
      <c r="D20" s="195">
        <v>1.79</v>
      </c>
      <c r="E20" s="329">
        <v>16.0</v>
      </c>
    </row>
    <row r="21">
      <c r="A21" s="327" t="s">
        <v>928</v>
      </c>
      <c r="B21" s="195"/>
      <c r="C21" s="195"/>
      <c r="D21" s="195"/>
      <c r="E21" s="329">
        <v>19.0</v>
      </c>
    </row>
    <row r="22">
      <c r="A22" s="327" t="s">
        <v>929</v>
      </c>
      <c r="B22" s="195"/>
      <c r="C22" s="195"/>
      <c r="D22" s="195">
        <v>2.22</v>
      </c>
      <c r="E22" s="329">
        <v>22.0</v>
      </c>
    </row>
    <row r="23">
      <c r="A23" s="327" t="s">
        <v>238</v>
      </c>
      <c r="B23" s="195"/>
      <c r="C23" s="195"/>
      <c r="D23" s="195">
        <v>2.68</v>
      </c>
      <c r="E23" s="329">
        <v>23.0</v>
      </c>
    </row>
    <row r="24">
      <c r="A24" s="327" t="s">
        <v>930</v>
      </c>
      <c r="B24" s="195"/>
      <c r="C24" s="195"/>
      <c r="D24" s="195"/>
      <c r="E24" s="329">
        <v>24.0</v>
      </c>
    </row>
    <row r="25">
      <c r="A25" s="327" t="s">
        <v>931</v>
      </c>
      <c r="B25" s="195"/>
      <c r="C25" s="195"/>
      <c r="D25" s="195"/>
      <c r="E25" s="329">
        <v>25.0</v>
      </c>
    </row>
    <row r="26">
      <c r="A26" s="327" t="s">
        <v>932</v>
      </c>
      <c r="B26" s="195"/>
      <c r="C26" s="195"/>
      <c r="D26" s="195">
        <v>9.56</v>
      </c>
      <c r="E26" s="329">
        <v>26.0</v>
      </c>
    </row>
    <row r="27">
      <c r="A27" s="327" t="s">
        <v>933</v>
      </c>
      <c r="B27" s="195"/>
      <c r="C27" s="195"/>
      <c r="D27" s="195">
        <v>4.53</v>
      </c>
      <c r="E27" s="329">
        <v>27.0</v>
      </c>
    </row>
    <row r="28">
      <c r="A28" s="327" t="s">
        <v>934</v>
      </c>
      <c r="B28" s="195"/>
      <c r="C28" s="195"/>
      <c r="D28" s="195"/>
      <c r="E28" s="329" t="s">
        <v>935</v>
      </c>
    </row>
    <row r="29">
      <c r="A29" s="327" t="s">
        <v>936</v>
      </c>
      <c r="B29" s="195"/>
      <c r="C29" s="195"/>
      <c r="D29" s="195">
        <v>5.0</v>
      </c>
      <c r="E29" s="329">
        <v>30.0</v>
      </c>
    </row>
    <row r="30">
      <c r="A30" s="327" t="s">
        <v>937</v>
      </c>
      <c r="B30" s="195"/>
      <c r="C30" s="195"/>
      <c r="D30" s="195"/>
      <c r="E30" s="329">
        <v>31.0</v>
      </c>
    </row>
    <row r="31">
      <c r="A31" s="327" t="s">
        <v>938</v>
      </c>
      <c r="B31" s="195"/>
      <c r="C31" s="195"/>
      <c r="D31" s="195">
        <v>0.94</v>
      </c>
      <c r="E31" s="329">
        <v>38.0</v>
      </c>
    </row>
    <row r="32">
      <c r="A32" s="327" t="s">
        <v>939</v>
      </c>
      <c r="B32" s="195"/>
      <c r="C32" s="195"/>
      <c r="D32" s="195"/>
      <c r="E32" s="329">
        <v>39.0</v>
      </c>
    </row>
    <row r="33">
      <c r="A33" s="327" t="s">
        <v>940</v>
      </c>
      <c r="B33" s="195"/>
      <c r="C33" s="195"/>
      <c r="D33" s="195">
        <v>3.26</v>
      </c>
      <c r="E33" s="329">
        <v>40.0</v>
      </c>
    </row>
    <row r="34">
      <c r="A34" s="327" t="s">
        <v>941</v>
      </c>
      <c r="B34" s="195"/>
      <c r="C34" s="195"/>
      <c r="D34" s="195"/>
      <c r="E34" s="329">
        <v>41.0</v>
      </c>
    </row>
    <row r="35">
      <c r="A35" s="327" t="s">
        <v>942</v>
      </c>
      <c r="B35" s="195"/>
      <c r="C35" s="195"/>
      <c r="D35" s="195">
        <v>3.68</v>
      </c>
      <c r="E35" s="329">
        <v>42.0</v>
      </c>
    </row>
    <row r="36">
      <c r="A36" s="327" t="s">
        <v>943</v>
      </c>
      <c r="B36" s="195"/>
      <c r="C36" s="195"/>
      <c r="D36" s="195"/>
      <c r="E36" s="329">
        <v>43.0</v>
      </c>
    </row>
    <row r="37">
      <c r="A37" s="327" t="s">
        <v>944</v>
      </c>
      <c r="B37" s="195"/>
      <c r="C37" s="195"/>
      <c r="D37" s="195">
        <v>0.77</v>
      </c>
      <c r="E37" s="329">
        <v>44.0</v>
      </c>
    </row>
    <row r="38">
      <c r="A38" s="327" t="s">
        <v>945</v>
      </c>
      <c r="B38" s="195"/>
      <c r="C38" s="195"/>
      <c r="D38" s="195">
        <v>18.2</v>
      </c>
      <c r="E38" s="329">
        <v>45.0</v>
      </c>
    </row>
    <row r="39">
      <c r="A39" s="327" t="s">
        <v>946</v>
      </c>
      <c r="B39" s="195"/>
      <c r="C39" s="195"/>
      <c r="D39" s="195"/>
      <c r="E39" s="329">
        <v>46.0</v>
      </c>
    </row>
    <row r="40">
      <c r="A40" s="327" t="s">
        <v>947</v>
      </c>
      <c r="B40" s="195"/>
      <c r="C40" s="195"/>
      <c r="D40" s="195"/>
      <c r="E40" s="329">
        <v>47.0</v>
      </c>
    </row>
    <row r="41">
      <c r="A41" s="327" t="s">
        <v>948</v>
      </c>
      <c r="B41" s="195"/>
      <c r="C41" s="195"/>
      <c r="D41" s="195"/>
      <c r="E41" s="329">
        <v>48.0</v>
      </c>
    </row>
    <row r="42">
      <c r="A42" s="327" t="s">
        <v>949</v>
      </c>
      <c r="B42" s="195"/>
      <c r="C42" s="195"/>
      <c r="D42" s="195"/>
      <c r="E42" s="329">
        <v>49.0</v>
      </c>
    </row>
    <row r="43">
      <c r="A43" s="327" t="s">
        <v>950</v>
      </c>
      <c r="B43" s="195"/>
      <c r="C43" s="195"/>
      <c r="D43" s="195">
        <v>3.06</v>
      </c>
      <c r="E43" s="329">
        <v>50.0</v>
      </c>
    </row>
    <row r="44">
      <c r="A44" s="327" t="s">
        <v>951</v>
      </c>
      <c r="B44" s="195"/>
      <c r="C44" s="195"/>
      <c r="D44" s="195">
        <v>1.92</v>
      </c>
      <c r="E44" s="329">
        <v>51.0</v>
      </c>
    </row>
    <row r="45">
      <c r="A45" s="327" t="s">
        <v>952</v>
      </c>
      <c r="B45" s="195"/>
      <c r="C45" s="195"/>
      <c r="D45" s="195">
        <v>4.06</v>
      </c>
      <c r="E45" s="329">
        <v>52.0</v>
      </c>
    </row>
    <row r="46">
      <c r="A46" s="327" t="s">
        <v>244</v>
      </c>
      <c r="B46" s="195"/>
      <c r="C46" s="195"/>
      <c r="D46" s="195">
        <v>0.98</v>
      </c>
      <c r="E46" s="329">
        <v>54.0</v>
      </c>
    </row>
    <row r="47">
      <c r="A47" s="330" t="s">
        <v>252</v>
      </c>
      <c r="B47" s="195"/>
      <c r="C47" s="195"/>
      <c r="D47" s="195"/>
      <c r="E47" s="49"/>
    </row>
    <row r="48">
      <c r="D48" s="331"/>
    </row>
    <row r="50">
      <c r="A50" s="8" t="s">
        <v>953</v>
      </c>
      <c r="B50" s="9"/>
      <c r="C50" s="9"/>
      <c r="D50" s="9"/>
      <c r="E50" s="10"/>
    </row>
  </sheetData>
  <mergeCells count="3">
    <mergeCell ref="A1:E1"/>
    <mergeCell ref="A5:E5"/>
    <mergeCell ref="A50:E50"/>
  </mergeCells>
  <dataValidations>
    <dataValidation type="decimal" allowBlank="1" showErrorMessage="1" sqref="B9:D47">
      <formula1>0.0</formula1>
      <formula2>100.0</formula2>
    </dataValidation>
  </dataValidations>
  <printOptions/>
  <pageMargins bottom="0.75" footer="0.0" header="0.0" left="0.7" right="0.7" top="0.75"/>
  <pageSetup orientation="landscape"/>
  <headerFooter>
    <oddHeader>&amp;C   </oddHeader>
    <oddFooter>&amp;C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4" width="10.89"/>
    <col customWidth="1" min="5" max="5" width="9.44"/>
    <col customWidth="1" min="6" max="6" width="10.89"/>
    <col customWidth="1" min="7" max="7" width="9.89"/>
    <col customWidth="1" min="8" max="8" width="10.89"/>
    <col customWidth="1" min="9" max="9" width="10.56"/>
    <col customWidth="1" min="10" max="10" width="9.89"/>
    <col customWidth="1" min="11" max="26" width="10.89"/>
  </cols>
  <sheetData>
    <row r="1" ht="36.0" customHeight="1">
      <c r="A1" s="332" t="s">
        <v>954</v>
      </c>
      <c r="B1" s="9"/>
      <c r="C1" s="9"/>
      <c r="D1" s="9"/>
      <c r="E1" s="9"/>
      <c r="F1" s="9"/>
      <c r="G1" s="9"/>
      <c r="H1" s="9"/>
      <c r="I1" s="9"/>
      <c r="J1" s="10"/>
      <c r="K1" s="6"/>
      <c r="L1" s="6"/>
      <c r="M1" s="6"/>
      <c r="N1" s="6"/>
      <c r="O1" s="6"/>
      <c r="P1" s="6"/>
      <c r="Q1" s="6"/>
      <c r="R1" s="6"/>
      <c r="S1" s="6"/>
      <c r="T1" s="6"/>
      <c r="U1" s="6"/>
      <c r="V1" s="6"/>
      <c r="W1" s="6"/>
      <c r="X1" s="6"/>
      <c r="Y1" s="6"/>
      <c r="Z1" s="6"/>
    </row>
    <row r="2" ht="12.0" customHeight="1">
      <c r="A2" s="96"/>
      <c r="K2" s="6"/>
      <c r="L2" s="6"/>
      <c r="M2" s="6"/>
      <c r="N2" s="6"/>
      <c r="O2" s="6"/>
      <c r="P2" s="6"/>
      <c r="Q2" s="6"/>
      <c r="R2" s="6"/>
      <c r="S2" s="6"/>
      <c r="T2" s="6"/>
      <c r="U2" s="6"/>
      <c r="V2" s="6"/>
      <c r="W2" s="6"/>
      <c r="X2" s="6"/>
      <c r="Y2" s="6"/>
      <c r="Z2" s="6"/>
    </row>
    <row r="3" ht="18.75" customHeight="1">
      <c r="A3" s="333" t="s">
        <v>955</v>
      </c>
      <c r="K3" s="6"/>
      <c r="L3" s="6"/>
      <c r="M3" s="6"/>
      <c r="N3" s="6"/>
      <c r="O3" s="6"/>
      <c r="P3" s="6"/>
      <c r="Q3" s="6"/>
      <c r="R3" s="6"/>
      <c r="S3" s="6"/>
      <c r="T3" s="6"/>
      <c r="U3" s="6"/>
      <c r="V3" s="6"/>
      <c r="W3" s="6"/>
      <c r="X3" s="6"/>
      <c r="Y3" s="6"/>
      <c r="Z3" s="6"/>
    </row>
    <row r="4" ht="9.0" customHeight="1">
      <c r="A4" s="183"/>
      <c r="K4" s="6"/>
      <c r="L4" s="6"/>
      <c r="M4" s="6"/>
      <c r="N4" s="6"/>
      <c r="O4" s="6"/>
      <c r="P4" s="6"/>
      <c r="Q4" s="6"/>
      <c r="R4" s="6"/>
      <c r="S4" s="6"/>
      <c r="T4" s="6"/>
      <c r="U4" s="6"/>
      <c r="V4" s="6"/>
      <c r="W4" s="6"/>
      <c r="X4" s="6"/>
      <c r="Y4" s="6"/>
      <c r="Z4" s="6"/>
    </row>
    <row r="5" ht="36.0" customHeight="1">
      <c r="A5" s="183" t="s">
        <v>956</v>
      </c>
      <c r="K5" s="6"/>
      <c r="L5" s="6"/>
      <c r="M5" s="6"/>
      <c r="N5" s="6"/>
      <c r="O5" s="6"/>
      <c r="P5" s="6"/>
      <c r="Q5" s="6"/>
      <c r="R5" s="6"/>
      <c r="S5" s="6"/>
      <c r="T5" s="6"/>
      <c r="U5" s="6"/>
      <c r="V5" s="6"/>
      <c r="W5" s="6"/>
      <c r="X5" s="6"/>
      <c r="Y5" s="6"/>
      <c r="Z5" s="6"/>
    </row>
    <row r="6" ht="9.75" customHeight="1">
      <c r="A6" s="183"/>
      <c r="B6" s="6"/>
      <c r="C6" s="6"/>
      <c r="D6" s="6"/>
      <c r="E6" s="6"/>
      <c r="F6" s="6"/>
      <c r="G6" s="6"/>
      <c r="H6" s="6"/>
      <c r="I6" s="6"/>
      <c r="J6" s="6"/>
      <c r="K6" s="6"/>
      <c r="L6" s="6"/>
      <c r="M6" s="6"/>
      <c r="N6" s="6"/>
      <c r="O6" s="6"/>
      <c r="P6" s="6"/>
      <c r="Q6" s="6"/>
      <c r="R6" s="6"/>
      <c r="S6" s="6"/>
      <c r="T6" s="6"/>
      <c r="U6" s="6"/>
      <c r="V6" s="6"/>
      <c r="W6" s="6"/>
      <c r="X6" s="6"/>
      <c r="Y6" s="6"/>
      <c r="Z6" s="6"/>
    </row>
    <row r="7" ht="16.5" customHeight="1">
      <c r="A7" s="183" t="s">
        <v>957</v>
      </c>
      <c r="K7" s="6"/>
      <c r="L7" s="6"/>
      <c r="M7" s="6"/>
      <c r="N7" s="6"/>
      <c r="O7" s="6"/>
      <c r="P7" s="6"/>
      <c r="Q7" s="6"/>
      <c r="R7" s="6"/>
      <c r="S7" s="6"/>
      <c r="T7" s="6"/>
      <c r="U7" s="6"/>
      <c r="V7" s="6"/>
      <c r="W7" s="6"/>
      <c r="X7" s="6"/>
      <c r="Y7" s="6"/>
      <c r="Z7" s="6"/>
    </row>
    <row r="8" ht="18.75" customHeight="1">
      <c r="A8" s="334" t="s">
        <v>958</v>
      </c>
      <c r="B8" s="56"/>
      <c r="C8" s="56"/>
      <c r="D8" s="56"/>
      <c r="E8" s="56"/>
      <c r="F8" s="56"/>
      <c r="G8" s="56"/>
      <c r="H8" s="56"/>
      <c r="I8" s="56"/>
      <c r="J8" s="51"/>
      <c r="K8" s="6"/>
      <c r="L8" s="6"/>
      <c r="M8" s="6"/>
      <c r="N8" s="6"/>
      <c r="O8" s="6"/>
      <c r="P8" s="6"/>
      <c r="Q8" s="6"/>
      <c r="R8" s="6"/>
      <c r="S8" s="6"/>
      <c r="T8" s="6"/>
      <c r="U8" s="6"/>
      <c r="V8" s="6"/>
      <c r="W8" s="6"/>
      <c r="X8" s="6"/>
      <c r="Y8" s="6"/>
      <c r="Z8" s="6"/>
    </row>
    <row r="9" ht="36.0" customHeight="1">
      <c r="A9" s="183"/>
      <c r="B9" s="6"/>
      <c r="C9" s="6"/>
      <c r="D9" s="6"/>
      <c r="E9" s="6"/>
      <c r="F9" s="6"/>
      <c r="G9" s="6"/>
      <c r="H9" s="6"/>
      <c r="I9" s="6"/>
      <c r="J9" s="6"/>
      <c r="K9" s="6"/>
      <c r="L9" s="6"/>
      <c r="M9" s="6"/>
      <c r="N9" s="6"/>
      <c r="O9" s="6"/>
      <c r="P9" s="6"/>
      <c r="Q9" s="6"/>
      <c r="R9" s="6"/>
      <c r="S9" s="6"/>
      <c r="T9" s="6"/>
      <c r="U9" s="6"/>
      <c r="V9" s="6"/>
      <c r="W9" s="6"/>
      <c r="X9" s="6"/>
      <c r="Y9" s="6"/>
      <c r="Z9" s="6"/>
    </row>
    <row r="10" ht="57.0" customHeight="1">
      <c r="A10" s="333" t="s">
        <v>959</v>
      </c>
      <c r="K10" s="335"/>
      <c r="L10" s="335"/>
      <c r="M10" s="335"/>
      <c r="N10" s="335"/>
      <c r="O10" s="335"/>
      <c r="P10" s="335"/>
      <c r="Q10" s="335"/>
      <c r="R10" s="335"/>
      <c r="S10" s="335"/>
      <c r="T10" s="335"/>
      <c r="U10" s="335"/>
      <c r="V10" s="335"/>
      <c r="W10" s="335"/>
      <c r="X10" s="335"/>
      <c r="Y10" s="335"/>
      <c r="Z10" s="335"/>
    </row>
    <row r="11" ht="57.0" customHeight="1">
      <c r="A11" s="333" t="s">
        <v>960</v>
      </c>
      <c r="K11" s="335"/>
      <c r="L11" s="335"/>
      <c r="M11" s="335"/>
      <c r="N11" s="335"/>
      <c r="O11" s="335"/>
      <c r="P11" s="335"/>
      <c r="Q11" s="335"/>
      <c r="R11" s="335"/>
      <c r="S11" s="335"/>
      <c r="T11" s="335"/>
      <c r="U11" s="335"/>
      <c r="V11" s="335"/>
      <c r="W11" s="335"/>
      <c r="X11" s="335"/>
      <c r="Y11" s="335"/>
      <c r="Z11" s="335"/>
    </row>
    <row r="12" ht="57.0" customHeight="1">
      <c r="A12" s="333" t="s">
        <v>961</v>
      </c>
      <c r="K12" s="335"/>
      <c r="L12" s="335"/>
      <c r="M12" s="335"/>
      <c r="N12" s="335"/>
      <c r="O12" s="335"/>
      <c r="P12" s="335"/>
      <c r="Q12" s="335"/>
      <c r="R12" s="335"/>
      <c r="S12" s="335"/>
      <c r="T12" s="335"/>
      <c r="U12" s="335"/>
      <c r="V12" s="335"/>
      <c r="W12" s="335"/>
      <c r="X12" s="335"/>
      <c r="Y12" s="335"/>
      <c r="Z12" s="335"/>
    </row>
    <row r="13" ht="57.0" customHeight="1">
      <c r="A13" s="333" t="s">
        <v>962</v>
      </c>
      <c r="K13" s="335"/>
      <c r="L13" s="335"/>
      <c r="M13" s="335"/>
      <c r="N13" s="335"/>
      <c r="O13" s="335"/>
      <c r="P13" s="335"/>
      <c r="Q13" s="335"/>
      <c r="R13" s="335"/>
      <c r="S13" s="335"/>
      <c r="T13" s="335"/>
      <c r="U13" s="335"/>
      <c r="V13" s="335"/>
      <c r="W13" s="335"/>
      <c r="X13" s="335"/>
      <c r="Y13" s="335"/>
      <c r="Z13" s="335"/>
    </row>
    <row r="14" ht="57.0" customHeight="1">
      <c r="A14" s="333" t="s">
        <v>963</v>
      </c>
      <c r="K14" s="335"/>
      <c r="L14" s="335"/>
      <c r="M14" s="335"/>
      <c r="N14" s="335"/>
      <c r="O14" s="335"/>
      <c r="P14" s="335"/>
      <c r="Q14" s="335"/>
      <c r="R14" s="335"/>
      <c r="S14" s="335"/>
      <c r="T14" s="335"/>
      <c r="U14" s="335"/>
      <c r="V14" s="335"/>
      <c r="W14" s="335"/>
      <c r="X14" s="335"/>
      <c r="Y14" s="335"/>
      <c r="Z14" s="335"/>
    </row>
    <row r="15" ht="57.0" customHeight="1">
      <c r="A15" s="333" t="s">
        <v>964</v>
      </c>
      <c r="K15" s="335"/>
      <c r="L15" s="335"/>
      <c r="M15" s="335"/>
      <c r="N15" s="335"/>
      <c r="O15" s="335"/>
      <c r="P15" s="335"/>
      <c r="Q15" s="335"/>
      <c r="R15" s="335"/>
      <c r="S15" s="335"/>
      <c r="T15" s="335"/>
      <c r="U15" s="335"/>
      <c r="V15" s="335"/>
      <c r="W15" s="335"/>
      <c r="X15" s="335"/>
      <c r="Y15" s="335"/>
      <c r="Z15" s="335"/>
    </row>
    <row r="16" ht="57.0" customHeight="1">
      <c r="A16" s="333" t="s">
        <v>965</v>
      </c>
      <c r="K16" s="335"/>
      <c r="L16" s="335"/>
      <c r="M16" s="335"/>
      <c r="N16" s="335"/>
      <c r="O16" s="335"/>
      <c r="P16" s="335"/>
      <c r="Q16" s="335"/>
      <c r="R16" s="335"/>
      <c r="S16" s="335"/>
      <c r="T16" s="335"/>
      <c r="U16" s="335"/>
      <c r="V16" s="335"/>
      <c r="W16" s="335"/>
      <c r="X16" s="335"/>
      <c r="Y16" s="335"/>
      <c r="Z16" s="335"/>
    </row>
    <row r="17" ht="57.0" customHeight="1">
      <c r="A17" s="333" t="s">
        <v>966</v>
      </c>
      <c r="K17" s="335"/>
      <c r="L17" s="335"/>
      <c r="M17" s="335"/>
      <c r="N17" s="335"/>
      <c r="O17" s="335"/>
      <c r="P17" s="335"/>
      <c r="Q17" s="335"/>
      <c r="R17" s="335"/>
      <c r="S17" s="335"/>
      <c r="T17" s="335"/>
      <c r="U17" s="335"/>
      <c r="V17" s="335"/>
      <c r="W17" s="335"/>
      <c r="X17" s="335"/>
      <c r="Y17" s="335"/>
      <c r="Z17" s="335"/>
    </row>
    <row r="18" ht="57.0" customHeight="1">
      <c r="A18" s="333" t="s">
        <v>967</v>
      </c>
      <c r="K18" s="335"/>
      <c r="L18" s="335"/>
      <c r="M18" s="335"/>
      <c r="N18" s="335"/>
      <c r="O18" s="335"/>
      <c r="P18" s="335"/>
      <c r="Q18" s="335"/>
      <c r="R18" s="335"/>
      <c r="S18" s="335"/>
      <c r="T18" s="335"/>
      <c r="U18" s="335"/>
      <c r="V18" s="335"/>
      <c r="W18" s="335"/>
      <c r="X18" s="335"/>
      <c r="Y18" s="335"/>
      <c r="Z18" s="335"/>
    </row>
    <row r="19" ht="111.0" customHeight="1">
      <c r="A19" s="333" t="s">
        <v>968</v>
      </c>
      <c r="K19" s="335"/>
      <c r="L19" s="335"/>
      <c r="M19" s="335"/>
      <c r="N19" s="335"/>
      <c r="O19" s="335"/>
      <c r="P19" s="335"/>
      <c r="Q19" s="335"/>
      <c r="R19" s="335"/>
      <c r="S19" s="335"/>
      <c r="T19" s="335"/>
      <c r="U19" s="335"/>
      <c r="V19" s="335"/>
      <c r="W19" s="335"/>
      <c r="X19" s="335"/>
      <c r="Y19" s="335"/>
      <c r="Z19" s="335"/>
    </row>
    <row r="20" ht="57.0" customHeight="1">
      <c r="A20" s="333" t="s">
        <v>969</v>
      </c>
      <c r="K20" s="335"/>
      <c r="L20" s="335"/>
      <c r="M20" s="335"/>
      <c r="N20" s="335"/>
      <c r="O20" s="335"/>
      <c r="P20" s="335"/>
      <c r="Q20" s="335"/>
      <c r="R20" s="335"/>
      <c r="S20" s="335"/>
      <c r="T20" s="335"/>
      <c r="U20" s="335"/>
      <c r="V20" s="335"/>
      <c r="W20" s="335"/>
      <c r="X20" s="335"/>
      <c r="Y20" s="335"/>
      <c r="Z20" s="335"/>
    </row>
    <row r="21" ht="57.0" customHeight="1">
      <c r="A21" s="333" t="s">
        <v>970</v>
      </c>
      <c r="K21" s="335"/>
      <c r="L21" s="335"/>
      <c r="M21" s="335"/>
      <c r="N21" s="335"/>
      <c r="O21" s="335"/>
      <c r="P21" s="335"/>
      <c r="Q21" s="335"/>
      <c r="R21" s="335"/>
      <c r="S21" s="335"/>
      <c r="T21" s="335"/>
      <c r="U21" s="335"/>
      <c r="V21" s="335"/>
      <c r="W21" s="335"/>
      <c r="X21" s="335"/>
      <c r="Y21" s="335"/>
      <c r="Z21" s="335"/>
    </row>
    <row r="22" ht="57.0" customHeight="1">
      <c r="A22" s="333" t="s">
        <v>971</v>
      </c>
      <c r="K22" s="335"/>
      <c r="L22" s="335"/>
      <c r="M22" s="335"/>
      <c r="N22" s="335"/>
      <c r="O22" s="335"/>
      <c r="P22" s="335"/>
      <c r="Q22" s="335"/>
      <c r="R22" s="335"/>
      <c r="S22" s="335"/>
      <c r="T22" s="335"/>
      <c r="U22" s="335"/>
      <c r="V22" s="335"/>
      <c r="W22" s="335"/>
      <c r="X22" s="335"/>
      <c r="Y22" s="335"/>
      <c r="Z22" s="335"/>
    </row>
    <row r="23" ht="57.0" customHeight="1">
      <c r="A23" s="333" t="s">
        <v>972</v>
      </c>
      <c r="K23" s="335"/>
      <c r="L23" s="335"/>
      <c r="M23" s="335"/>
      <c r="N23" s="335"/>
      <c r="O23" s="335"/>
      <c r="P23" s="335"/>
      <c r="Q23" s="335"/>
      <c r="R23" s="335"/>
      <c r="S23" s="335"/>
      <c r="T23" s="335"/>
      <c r="U23" s="335"/>
      <c r="V23" s="335"/>
      <c r="W23" s="335"/>
      <c r="X23" s="335"/>
      <c r="Y23" s="335"/>
      <c r="Z23" s="335"/>
    </row>
    <row r="24" ht="57.0" customHeight="1">
      <c r="A24" s="336" t="s">
        <v>973</v>
      </c>
      <c r="K24" s="335"/>
      <c r="L24" s="335"/>
      <c r="M24" s="335"/>
      <c r="N24" s="335"/>
      <c r="O24" s="335"/>
      <c r="P24" s="335"/>
      <c r="Q24" s="335"/>
      <c r="R24" s="335"/>
      <c r="S24" s="335"/>
      <c r="T24" s="335"/>
      <c r="U24" s="335"/>
      <c r="V24" s="335"/>
      <c r="W24" s="335"/>
      <c r="X24" s="335"/>
      <c r="Y24" s="335"/>
      <c r="Z24" s="335"/>
    </row>
    <row r="25" ht="73.5" customHeight="1">
      <c r="A25" s="333" t="s">
        <v>974</v>
      </c>
      <c r="K25" s="335"/>
      <c r="L25" s="335"/>
      <c r="M25" s="335"/>
      <c r="N25" s="335"/>
      <c r="O25" s="335"/>
      <c r="P25" s="335"/>
      <c r="Q25" s="335"/>
      <c r="R25" s="335"/>
      <c r="S25" s="335"/>
      <c r="T25" s="335"/>
      <c r="U25" s="335"/>
      <c r="V25" s="335"/>
      <c r="W25" s="335"/>
      <c r="X25" s="335"/>
      <c r="Y25" s="335"/>
      <c r="Z25" s="335"/>
    </row>
    <row r="26" ht="57.0" customHeight="1">
      <c r="A26" s="333" t="s">
        <v>975</v>
      </c>
      <c r="K26" s="335"/>
      <c r="L26" s="335"/>
      <c r="M26" s="335"/>
      <c r="N26" s="335"/>
      <c r="O26" s="335"/>
      <c r="P26" s="335"/>
      <c r="Q26" s="335"/>
      <c r="R26" s="335"/>
      <c r="S26" s="335"/>
      <c r="T26" s="335"/>
      <c r="U26" s="335"/>
      <c r="V26" s="335"/>
      <c r="W26" s="335"/>
      <c r="X26" s="335"/>
      <c r="Y26" s="335"/>
      <c r="Z26" s="335"/>
    </row>
    <row r="27" ht="57.0" customHeight="1">
      <c r="A27" s="333" t="s">
        <v>976</v>
      </c>
      <c r="K27" s="335"/>
      <c r="L27" s="335"/>
      <c r="M27" s="335"/>
      <c r="N27" s="335"/>
      <c r="O27" s="335"/>
      <c r="P27" s="335"/>
      <c r="Q27" s="335"/>
      <c r="R27" s="335"/>
      <c r="S27" s="335"/>
      <c r="T27" s="335"/>
      <c r="U27" s="335"/>
      <c r="V27" s="335"/>
      <c r="W27" s="335"/>
      <c r="X27" s="335"/>
      <c r="Y27" s="335"/>
      <c r="Z27" s="335"/>
    </row>
    <row r="28" ht="57.0" customHeight="1">
      <c r="A28" s="333" t="s">
        <v>977</v>
      </c>
      <c r="K28" s="335"/>
      <c r="L28" s="335"/>
      <c r="M28" s="335"/>
      <c r="N28" s="335"/>
      <c r="O28" s="335"/>
      <c r="P28" s="335"/>
      <c r="Q28" s="335"/>
      <c r="R28" s="335"/>
      <c r="S28" s="335"/>
      <c r="T28" s="335"/>
      <c r="U28" s="335"/>
      <c r="V28" s="335"/>
      <c r="W28" s="335"/>
      <c r="X28" s="335"/>
      <c r="Y28" s="335"/>
      <c r="Z28" s="335"/>
    </row>
    <row r="29" ht="57.0" customHeight="1">
      <c r="A29" s="333" t="s">
        <v>978</v>
      </c>
      <c r="K29" s="335"/>
      <c r="L29" s="335"/>
      <c r="M29" s="335"/>
      <c r="N29" s="335"/>
      <c r="O29" s="335"/>
      <c r="P29" s="335"/>
      <c r="Q29" s="335"/>
      <c r="R29" s="335"/>
      <c r="S29" s="335"/>
      <c r="T29" s="335"/>
      <c r="U29" s="335"/>
      <c r="V29" s="335"/>
      <c r="W29" s="335"/>
      <c r="X29" s="335"/>
      <c r="Y29" s="335"/>
      <c r="Z29" s="335"/>
    </row>
    <row r="30" ht="57.0" customHeight="1">
      <c r="A30" s="333" t="s">
        <v>979</v>
      </c>
      <c r="K30" s="335"/>
      <c r="L30" s="335"/>
      <c r="M30" s="335"/>
      <c r="N30" s="335"/>
      <c r="O30" s="335"/>
      <c r="P30" s="335"/>
      <c r="Q30" s="335"/>
      <c r="R30" s="335"/>
      <c r="S30" s="335"/>
      <c r="T30" s="335"/>
      <c r="U30" s="335"/>
      <c r="V30" s="335"/>
      <c r="W30" s="335"/>
      <c r="X30" s="335"/>
      <c r="Y30" s="335"/>
      <c r="Z30" s="335"/>
    </row>
    <row r="31" ht="57.0" customHeight="1">
      <c r="A31" s="333" t="s">
        <v>980</v>
      </c>
      <c r="K31" s="335"/>
      <c r="L31" s="335"/>
      <c r="M31" s="335"/>
      <c r="N31" s="335"/>
      <c r="O31" s="335"/>
      <c r="P31" s="335"/>
      <c r="Q31" s="335"/>
      <c r="R31" s="335"/>
      <c r="S31" s="335"/>
      <c r="T31" s="335"/>
      <c r="U31" s="335"/>
      <c r="V31" s="335"/>
      <c r="W31" s="335"/>
      <c r="X31" s="335"/>
      <c r="Y31" s="335"/>
      <c r="Z31" s="335"/>
    </row>
    <row r="32" ht="57.0" customHeight="1">
      <c r="A32" s="333" t="s">
        <v>981</v>
      </c>
      <c r="K32" s="335"/>
      <c r="L32" s="335"/>
      <c r="M32" s="335"/>
      <c r="N32" s="335"/>
      <c r="O32" s="335"/>
      <c r="P32" s="335"/>
      <c r="Q32" s="335"/>
      <c r="R32" s="335"/>
      <c r="S32" s="335"/>
      <c r="T32" s="335"/>
      <c r="U32" s="335"/>
      <c r="V32" s="335"/>
      <c r="W32" s="335"/>
      <c r="X32" s="335"/>
      <c r="Y32" s="335"/>
      <c r="Z32" s="335"/>
    </row>
    <row r="33" ht="57.0" customHeight="1">
      <c r="A33" s="333" t="s">
        <v>982</v>
      </c>
      <c r="K33" s="335"/>
      <c r="L33" s="335"/>
      <c r="M33" s="335"/>
      <c r="N33" s="335"/>
      <c r="O33" s="335"/>
      <c r="P33" s="335"/>
      <c r="Q33" s="335"/>
      <c r="R33" s="335"/>
      <c r="S33" s="335"/>
      <c r="T33" s="335"/>
      <c r="U33" s="335"/>
      <c r="V33" s="335"/>
      <c r="W33" s="335"/>
      <c r="X33" s="335"/>
      <c r="Y33" s="335"/>
      <c r="Z33" s="335"/>
    </row>
    <row r="34" ht="57.0" customHeight="1">
      <c r="A34" s="333" t="s">
        <v>983</v>
      </c>
      <c r="K34" s="335"/>
      <c r="L34" s="335"/>
      <c r="M34" s="335"/>
      <c r="N34" s="335"/>
      <c r="O34" s="335"/>
      <c r="P34" s="335"/>
      <c r="Q34" s="335"/>
      <c r="R34" s="335"/>
      <c r="S34" s="335"/>
      <c r="T34" s="335"/>
      <c r="U34" s="335"/>
      <c r="V34" s="335"/>
      <c r="W34" s="335"/>
      <c r="X34" s="335"/>
      <c r="Y34" s="335"/>
      <c r="Z34" s="335"/>
    </row>
    <row r="35" ht="57.0" customHeight="1">
      <c r="A35" s="333" t="s">
        <v>984</v>
      </c>
      <c r="K35" s="335"/>
      <c r="L35" s="335"/>
      <c r="M35" s="335"/>
      <c r="N35" s="335"/>
      <c r="O35" s="335"/>
      <c r="P35" s="335"/>
      <c r="Q35" s="335"/>
      <c r="R35" s="335"/>
      <c r="S35" s="335"/>
      <c r="T35" s="335"/>
      <c r="U35" s="335"/>
      <c r="V35" s="335"/>
      <c r="W35" s="335"/>
      <c r="X35" s="335"/>
      <c r="Y35" s="335"/>
      <c r="Z35" s="335"/>
    </row>
    <row r="36" ht="57.0" customHeight="1">
      <c r="A36" s="333" t="s">
        <v>985</v>
      </c>
      <c r="K36" s="335"/>
      <c r="L36" s="335"/>
      <c r="M36" s="335"/>
      <c r="N36" s="335"/>
      <c r="O36" s="335"/>
      <c r="P36" s="335"/>
      <c r="Q36" s="335"/>
      <c r="R36" s="335"/>
      <c r="S36" s="335"/>
      <c r="T36" s="335"/>
      <c r="U36" s="335"/>
      <c r="V36" s="335"/>
      <c r="W36" s="335"/>
      <c r="X36" s="335"/>
      <c r="Y36" s="335"/>
      <c r="Z36" s="335"/>
    </row>
    <row r="37" ht="57.0" customHeight="1">
      <c r="A37" s="333" t="s">
        <v>986</v>
      </c>
      <c r="K37" s="335"/>
      <c r="L37" s="335"/>
      <c r="M37" s="335"/>
      <c r="N37" s="335"/>
      <c r="O37" s="335"/>
      <c r="P37" s="335"/>
      <c r="Q37" s="335"/>
      <c r="R37" s="335"/>
      <c r="S37" s="335"/>
      <c r="T37" s="335"/>
      <c r="U37" s="335"/>
      <c r="V37" s="335"/>
      <c r="W37" s="335"/>
      <c r="X37" s="335"/>
      <c r="Y37" s="335"/>
      <c r="Z37" s="335"/>
    </row>
    <row r="38" ht="57.0" customHeight="1">
      <c r="A38" s="333" t="s">
        <v>987</v>
      </c>
      <c r="K38" s="335"/>
      <c r="L38" s="335"/>
      <c r="M38" s="335"/>
      <c r="N38" s="335"/>
      <c r="O38" s="335"/>
      <c r="P38" s="335"/>
      <c r="Q38" s="335"/>
      <c r="R38" s="335"/>
      <c r="S38" s="335"/>
      <c r="T38" s="335"/>
      <c r="U38" s="335"/>
      <c r="V38" s="335"/>
      <c r="W38" s="335"/>
      <c r="X38" s="335"/>
      <c r="Y38" s="335"/>
      <c r="Z38" s="335"/>
    </row>
    <row r="39" ht="57.0" customHeight="1">
      <c r="A39" s="333" t="s">
        <v>988</v>
      </c>
      <c r="K39" s="335"/>
      <c r="L39" s="335"/>
      <c r="M39" s="335"/>
      <c r="N39" s="335"/>
      <c r="O39" s="335"/>
      <c r="P39" s="335"/>
      <c r="Q39" s="335"/>
      <c r="R39" s="335"/>
      <c r="S39" s="335"/>
      <c r="T39" s="335"/>
      <c r="U39" s="335"/>
      <c r="V39" s="335"/>
      <c r="W39" s="335"/>
      <c r="X39" s="335"/>
      <c r="Y39" s="335"/>
      <c r="Z39" s="335"/>
    </row>
    <row r="40" ht="57.0" customHeight="1">
      <c r="A40" s="333" t="s">
        <v>989</v>
      </c>
      <c r="K40" s="335"/>
      <c r="L40" s="335"/>
      <c r="M40" s="335"/>
      <c r="N40" s="335"/>
      <c r="O40" s="335"/>
      <c r="P40" s="335"/>
      <c r="Q40" s="335"/>
      <c r="R40" s="335"/>
      <c r="S40" s="335"/>
      <c r="T40" s="335"/>
      <c r="U40" s="335"/>
      <c r="V40" s="335"/>
      <c r="W40" s="335"/>
      <c r="X40" s="335"/>
      <c r="Y40" s="335"/>
      <c r="Z40" s="335"/>
    </row>
    <row r="41" ht="57.0" customHeight="1">
      <c r="A41" s="333" t="s">
        <v>990</v>
      </c>
      <c r="K41" s="335"/>
      <c r="L41" s="335"/>
      <c r="M41" s="335"/>
      <c r="N41" s="335"/>
      <c r="O41" s="335"/>
      <c r="P41" s="335"/>
      <c r="Q41" s="335"/>
      <c r="R41" s="335"/>
      <c r="S41" s="335"/>
      <c r="T41" s="335"/>
      <c r="U41" s="335"/>
      <c r="V41" s="335"/>
      <c r="W41" s="335"/>
      <c r="X41" s="335"/>
      <c r="Y41" s="335"/>
      <c r="Z41" s="335"/>
    </row>
    <row r="42" ht="57.0" customHeight="1">
      <c r="A42" s="333" t="s">
        <v>991</v>
      </c>
      <c r="K42" s="335"/>
      <c r="L42" s="335"/>
      <c r="M42" s="335"/>
      <c r="N42" s="335"/>
      <c r="O42" s="335"/>
      <c r="P42" s="335"/>
      <c r="Q42" s="335"/>
      <c r="R42" s="335"/>
      <c r="S42" s="335"/>
      <c r="T42" s="335"/>
      <c r="U42" s="335"/>
      <c r="V42" s="335"/>
      <c r="W42" s="335"/>
      <c r="X42" s="335"/>
      <c r="Y42" s="335"/>
      <c r="Z42" s="335"/>
    </row>
    <row r="43" ht="57.0" customHeight="1">
      <c r="A43" s="333" t="s">
        <v>992</v>
      </c>
      <c r="K43" s="335"/>
      <c r="L43" s="335"/>
      <c r="M43" s="335"/>
      <c r="N43" s="335"/>
      <c r="O43" s="335"/>
      <c r="P43" s="335"/>
      <c r="Q43" s="335"/>
      <c r="R43" s="335"/>
      <c r="S43" s="335"/>
      <c r="T43" s="335"/>
      <c r="U43" s="335"/>
      <c r="V43" s="335"/>
      <c r="W43" s="335"/>
      <c r="X43" s="335"/>
      <c r="Y43" s="335"/>
      <c r="Z43" s="335"/>
    </row>
    <row r="44" ht="57.0" customHeight="1">
      <c r="A44" s="333" t="s">
        <v>993</v>
      </c>
      <c r="K44" s="335"/>
      <c r="L44" s="335"/>
      <c r="M44" s="335"/>
      <c r="N44" s="335"/>
      <c r="O44" s="335"/>
      <c r="P44" s="335"/>
      <c r="Q44" s="335"/>
      <c r="R44" s="335"/>
      <c r="S44" s="335"/>
      <c r="T44" s="335"/>
      <c r="U44" s="335"/>
      <c r="V44" s="335"/>
      <c r="W44" s="335"/>
      <c r="X44" s="335"/>
      <c r="Y44" s="335"/>
      <c r="Z44" s="335"/>
    </row>
    <row r="45" ht="57.0" customHeight="1">
      <c r="A45" s="333" t="s">
        <v>994</v>
      </c>
      <c r="K45" s="335"/>
      <c r="L45" s="335"/>
      <c r="M45" s="335"/>
      <c r="N45" s="335"/>
      <c r="O45" s="335"/>
      <c r="P45" s="335"/>
      <c r="Q45" s="335"/>
      <c r="R45" s="335"/>
      <c r="S45" s="335"/>
      <c r="T45" s="335"/>
      <c r="U45" s="335"/>
      <c r="V45" s="335"/>
      <c r="W45" s="335"/>
      <c r="X45" s="335"/>
      <c r="Y45" s="335"/>
      <c r="Z45" s="335"/>
    </row>
    <row r="46" ht="78.0" customHeight="1">
      <c r="A46" s="333" t="s">
        <v>995</v>
      </c>
      <c r="K46" s="335"/>
      <c r="L46" s="335"/>
      <c r="M46" s="335"/>
      <c r="N46" s="335"/>
      <c r="O46" s="335"/>
      <c r="P46" s="335"/>
      <c r="Q46" s="335"/>
      <c r="R46" s="335"/>
      <c r="S46" s="335"/>
      <c r="T46" s="335"/>
      <c r="U46" s="335"/>
      <c r="V46" s="335"/>
      <c r="W46" s="335"/>
      <c r="X46" s="335"/>
      <c r="Y46" s="335"/>
      <c r="Z46" s="335"/>
    </row>
    <row r="47" ht="57.0" customHeight="1">
      <c r="A47" s="333" t="s">
        <v>996</v>
      </c>
      <c r="K47" s="335"/>
      <c r="L47" s="335"/>
      <c r="M47" s="335"/>
      <c r="N47" s="335"/>
      <c r="O47" s="335"/>
      <c r="P47" s="335"/>
      <c r="Q47" s="335"/>
      <c r="R47" s="335"/>
      <c r="S47" s="335"/>
      <c r="T47" s="335"/>
      <c r="U47" s="335"/>
      <c r="V47" s="335"/>
      <c r="W47" s="335"/>
      <c r="X47" s="335"/>
      <c r="Y47" s="335"/>
      <c r="Z47" s="335"/>
    </row>
    <row r="48" ht="57.0" customHeight="1">
      <c r="A48" s="333" t="s">
        <v>997</v>
      </c>
      <c r="K48" s="335"/>
      <c r="L48" s="335"/>
      <c r="M48" s="335"/>
      <c r="N48" s="335"/>
      <c r="O48" s="335"/>
      <c r="P48" s="335"/>
      <c r="Q48" s="335"/>
      <c r="R48" s="335"/>
      <c r="S48" s="335"/>
      <c r="T48" s="335"/>
      <c r="U48" s="335"/>
      <c r="V48" s="335"/>
      <c r="W48" s="335"/>
      <c r="X48" s="335"/>
      <c r="Y48" s="335"/>
      <c r="Z48" s="335"/>
    </row>
    <row r="49" ht="72.0" customHeight="1">
      <c r="A49" s="336" t="s">
        <v>998</v>
      </c>
      <c r="K49" s="335"/>
      <c r="L49" s="335"/>
      <c r="M49" s="335"/>
      <c r="N49" s="335"/>
      <c r="O49" s="335"/>
      <c r="P49" s="335"/>
      <c r="Q49" s="335"/>
      <c r="R49" s="335"/>
      <c r="S49" s="335"/>
      <c r="T49" s="335"/>
      <c r="U49" s="335"/>
      <c r="V49" s="335"/>
      <c r="W49" s="335"/>
      <c r="X49" s="335"/>
      <c r="Y49" s="335"/>
      <c r="Z49" s="335"/>
    </row>
    <row r="50" ht="124.5" customHeight="1">
      <c r="A50" s="336" t="s">
        <v>999</v>
      </c>
      <c r="K50" s="335"/>
      <c r="L50" s="335"/>
      <c r="M50" s="335"/>
      <c r="N50" s="335"/>
      <c r="O50" s="335"/>
      <c r="P50" s="335"/>
      <c r="Q50" s="335"/>
      <c r="R50" s="335"/>
      <c r="S50" s="335"/>
      <c r="T50" s="335"/>
      <c r="U50" s="335"/>
      <c r="V50" s="335"/>
      <c r="W50" s="335"/>
      <c r="X50" s="335"/>
      <c r="Y50" s="335"/>
      <c r="Z50" s="335"/>
    </row>
    <row r="51" ht="57.0" customHeight="1">
      <c r="A51" s="336" t="s">
        <v>1000</v>
      </c>
      <c r="K51" s="335"/>
      <c r="L51" s="335"/>
      <c r="M51" s="335"/>
      <c r="N51" s="335"/>
      <c r="O51" s="335"/>
      <c r="P51" s="335"/>
      <c r="Q51" s="335"/>
      <c r="R51" s="335"/>
      <c r="S51" s="335"/>
      <c r="T51" s="335"/>
      <c r="U51" s="335"/>
      <c r="V51" s="335"/>
      <c r="W51" s="335"/>
      <c r="X51" s="335"/>
      <c r="Y51" s="335"/>
      <c r="Z51" s="335"/>
    </row>
    <row r="52" ht="57.0" customHeight="1">
      <c r="A52" s="333" t="s">
        <v>1001</v>
      </c>
      <c r="K52" s="335"/>
      <c r="L52" s="335"/>
      <c r="M52" s="335"/>
      <c r="N52" s="335"/>
      <c r="O52" s="335"/>
      <c r="P52" s="335"/>
      <c r="Q52" s="335"/>
      <c r="R52" s="335"/>
      <c r="S52" s="335"/>
      <c r="T52" s="335"/>
      <c r="U52" s="335"/>
      <c r="V52" s="335"/>
      <c r="W52" s="335"/>
      <c r="X52" s="335"/>
      <c r="Y52" s="335"/>
      <c r="Z52" s="335"/>
    </row>
    <row r="53" ht="57.0" customHeight="1">
      <c r="A53" s="333" t="s">
        <v>1002</v>
      </c>
      <c r="K53" s="335"/>
      <c r="L53" s="335"/>
      <c r="M53" s="335"/>
      <c r="N53" s="335"/>
      <c r="O53" s="335"/>
      <c r="P53" s="335"/>
      <c r="Q53" s="335"/>
      <c r="R53" s="335"/>
      <c r="S53" s="335"/>
      <c r="T53" s="335"/>
      <c r="U53" s="335"/>
      <c r="V53" s="335"/>
      <c r="W53" s="335"/>
      <c r="X53" s="335"/>
      <c r="Y53" s="335"/>
      <c r="Z53" s="335"/>
    </row>
    <row r="54" ht="57.0" customHeight="1">
      <c r="A54" s="333" t="s">
        <v>1003</v>
      </c>
      <c r="K54" s="335"/>
      <c r="L54" s="335"/>
      <c r="M54" s="335"/>
      <c r="N54" s="335"/>
      <c r="O54" s="335"/>
      <c r="P54" s="335"/>
      <c r="Q54" s="335"/>
      <c r="R54" s="335"/>
      <c r="S54" s="335"/>
      <c r="T54" s="335"/>
      <c r="U54" s="335"/>
      <c r="V54" s="335"/>
      <c r="W54" s="335"/>
      <c r="X54" s="335"/>
      <c r="Y54" s="335"/>
      <c r="Z54" s="335"/>
    </row>
    <row r="55" ht="57.0" customHeight="1">
      <c r="A55" s="333" t="s">
        <v>1004</v>
      </c>
      <c r="K55" s="335"/>
      <c r="L55" s="335"/>
      <c r="M55" s="335"/>
      <c r="N55" s="335"/>
      <c r="O55" s="335"/>
      <c r="P55" s="335"/>
      <c r="Q55" s="335"/>
      <c r="R55" s="335"/>
      <c r="S55" s="335"/>
      <c r="T55" s="335"/>
      <c r="U55" s="335"/>
      <c r="V55" s="335"/>
      <c r="W55" s="335"/>
      <c r="X55" s="335"/>
      <c r="Y55" s="335"/>
      <c r="Z55" s="335"/>
    </row>
    <row r="56" ht="79.5" customHeight="1">
      <c r="A56" s="333" t="s">
        <v>1005</v>
      </c>
      <c r="K56" s="335"/>
      <c r="L56" s="335"/>
      <c r="M56" s="335"/>
      <c r="N56" s="335"/>
      <c r="O56" s="335"/>
      <c r="P56" s="335"/>
      <c r="Q56" s="335"/>
      <c r="R56" s="335"/>
      <c r="S56" s="335"/>
      <c r="T56" s="335"/>
      <c r="U56" s="335"/>
      <c r="V56" s="335"/>
      <c r="W56" s="335"/>
      <c r="X56" s="335"/>
      <c r="Y56" s="335"/>
      <c r="Z56" s="335"/>
    </row>
    <row r="57" ht="57.0" customHeight="1">
      <c r="A57" s="333" t="s">
        <v>1006</v>
      </c>
      <c r="K57" s="335"/>
      <c r="L57" s="335"/>
      <c r="M57" s="335"/>
      <c r="N57" s="335"/>
      <c r="O57" s="335"/>
      <c r="P57" s="335"/>
      <c r="Q57" s="335"/>
      <c r="R57" s="335"/>
      <c r="S57" s="335"/>
      <c r="T57" s="335"/>
      <c r="U57" s="335"/>
      <c r="V57" s="335"/>
      <c r="W57" s="335"/>
      <c r="X57" s="335"/>
      <c r="Y57" s="335"/>
      <c r="Z57" s="335"/>
    </row>
    <row r="58" ht="57.0" customHeight="1">
      <c r="A58" s="333" t="s">
        <v>1007</v>
      </c>
      <c r="K58" s="335"/>
      <c r="L58" s="335"/>
      <c r="M58" s="335"/>
      <c r="N58" s="335"/>
      <c r="O58" s="335"/>
      <c r="P58" s="335"/>
      <c r="Q58" s="335"/>
      <c r="R58" s="335"/>
      <c r="S58" s="335"/>
      <c r="T58" s="335"/>
      <c r="U58" s="335"/>
      <c r="V58" s="335"/>
      <c r="W58" s="335"/>
      <c r="X58" s="335"/>
      <c r="Y58" s="335"/>
      <c r="Z58" s="335"/>
    </row>
    <row r="59" ht="57.0" customHeight="1">
      <c r="A59" s="333" t="s">
        <v>1008</v>
      </c>
      <c r="K59" s="335"/>
      <c r="L59" s="335"/>
      <c r="M59" s="335"/>
      <c r="N59" s="335"/>
      <c r="O59" s="335"/>
      <c r="P59" s="335"/>
      <c r="Q59" s="335"/>
      <c r="R59" s="335"/>
      <c r="S59" s="335"/>
      <c r="T59" s="335"/>
      <c r="U59" s="335"/>
      <c r="V59" s="335"/>
      <c r="W59" s="335"/>
      <c r="X59" s="335"/>
      <c r="Y59" s="335"/>
      <c r="Z59" s="335"/>
    </row>
    <row r="60" ht="57.0" customHeight="1">
      <c r="A60" s="333" t="s">
        <v>1009</v>
      </c>
      <c r="K60" s="335"/>
      <c r="L60" s="335"/>
      <c r="M60" s="335"/>
      <c r="N60" s="335"/>
      <c r="O60" s="335"/>
      <c r="P60" s="335"/>
      <c r="Q60" s="335"/>
      <c r="R60" s="335"/>
      <c r="S60" s="335"/>
      <c r="T60" s="335"/>
      <c r="U60" s="335"/>
      <c r="V60" s="335"/>
      <c r="W60" s="335"/>
      <c r="X60" s="335"/>
      <c r="Y60" s="335"/>
      <c r="Z60" s="335"/>
    </row>
    <row r="61" ht="57.0" customHeight="1">
      <c r="A61" s="333" t="s">
        <v>1010</v>
      </c>
      <c r="K61" s="335"/>
      <c r="L61" s="335"/>
      <c r="M61" s="335"/>
      <c r="N61" s="335"/>
      <c r="O61" s="335"/>
      <c r="P61" s="335"/>
      <c r="Q61" s="335"/>
      <c r="R61" s="335"/>
      <c r="S61" s="335"/>
      <c r="T61" s="335"/>
      <c r="U61" s="335"/>
      <c r="V61" s="335"/>
      <c r="W61" s="335"/>
      <c r="X61" s="335"/>
      <c r="Y61" s="335"/>
      <c r="Z61" s="335"/>
    </row>
    <row r="62" ht="57.0" customHeight="1">
      <c r="A62" s="333" t="s">
        <v>1011</v>
      </c>
      <c r="K62" s="335"/>
      <c r="L62" s="335"/>
      <c r="M62" s="335"/>
      <c r="N62" s="335"/>
      <c r="O62" s="335"/>
      <c r="P62" s="335"/>
      <c r="Q62" s="335"/>
      <c r="R62" s="335"/>
      <c r="S62" s="335"/>
      <c r="T62" s="335"/>
      <c r="U62" s="335"/>
      <c r="V62" s="335"/>
      <c r="W62" s="335"/>
      <c r="X62" s="335"/>
      <c r="Y62" s="335"/>
      <c r="Z62" s="335"/>
    </row>
    <row r="63" ht="57.0" customHeight="1">
      <c r="A63" s="333" t="s">
        <v>1012</v>
      </c>
      <c r="K63" s="335"/>
      <c r="L63" s="335"/>
      <c r="M63" s="335"/>
      <c r="N63" s="335"/>
      <c r="O63" s="335"/>
      <c r="P63" s="335"/>
      <c r="Q63" s="335"/>
      <c r="R63" s="335"/>
      <c r="S63" s="335"/>
      <c r="T63" s="335"/>
      <c r="U63" s="335"/>
      <c r="V63" s="335"/>
      <c r="W63" s="335"/>
      <c r="X63" s="335"/>
      <c r="Y63" s="335"/>
      <c r="Z63" s="335"/>
    </row>
    <row r="64" ht="57.0" customHeight="1">
      <c r="A64" s="333" t="s">
        <v>1013</v>
      </c>
      <c r="K64" s="335"/>
      <c r="L64" s="335"/>
      <c r="M64" s="335"/>
      <c r="N64" s="335"/>
      <c r="O64" s="335"/>
      <c r="P64" s="335"/>
      <c r="Q64" s="335"/>
      <c r="R64" s="335"/>
      <c r="S64" s="335"/>
      <c r="T64" s="335"/>
      <c r="U64" s="335"/>
      <c r="V64" s="335"/>
      <c r="W64" s="335"/>
      <c r="X64" s="335"/>
      <c r="Y64" s="335"/>
      <c r="Z64" s="335"/>
    </row>
    <row r="65" ht="57.0" customHeight="1">
      <c r="A65" s="333" t="s">
        <v>1014</v>
      </c>
      <c r="K65" s="335"/>
      <c r="L65" s="335"/>
      <c r="M65" s="335"/>
      <c r="N65" s="335"/>
      <c r="O65" s="335"/>
      <c r="P65" s="335"/>
      <c r="Q65" s="335"/>
      <c r="R65" s="335"/>
      <c r="S65" s="335"/>
      <c r="T65" s="335"/>
      <c r="U65" s="335"/>
      <c r="V65" s="335"/>
      <c r="W65" s="335"/>
      <c r="X65" s="335"/>
      <c r="Y65" s="335"/>
      <c r="Z65" s="335"/>
    </row>
    <row r="66" ht="57.0" customHeight="1">
      <c r="A66" s="333" t="s">
        <v>1015</v>
      </c>
      <c r="K66" s="335"/>
      <c r="L66" s="335"/>
      <c r="M66" s="335"/>
      <c r="N66" s="335"/>
      <c r="O66" s="335"/>
      <c r="P66" s="335"/>
      <c r="Q66" s="335"/>
      <c r="R66" s="335"/>
      <c r="S66" s="335"/>
      <c r="T66" s="335"/>
      <c r="U66" s="335"/>
      <c r="V66" s="335"/>
      <c r="W66" s="335"/>
      <c r="X66" s="335"/>
      <c r="Y66" s="335"/>
      <c r="Z66" s="335"/>
    </row>
    <row r="67" ht="75.75" customHeight="1">
      <c r="A67" s="333" t="s">
        <v>1016</v>
      </c>
      <c r="K67" s="335"/>
      <c r="L67" s="335"/>
      <c r="M67" s="335"/>
      <c r="N67" s="335"/>
      <c r="O67" s="335"/>
      <c r="P67" s="335"/>
      <c r="Q67" s="335"/>
      <c r="R67" s="335"/>
      <c r="S67" s="335"/>
      <c r="T67" s="335"/>
      <c r="U67" s="335"/>
      <c r="V67" s="335"/>
      <c r="W67" s="335"/>
      <c r="X67" s="335"/>
      <c r="Y67" s="335"/>
      <c r="Z67" s="335"/>
    </row>
    <row r="68" ht="57.0" customHeight="1">
      <c r="A68" s="333" t="s">
        <v>1017</v>
      </c>
      <c r="K68" s="335"/>
      <c r="L68" s="335"/>
      <c r="M68" s="335"/>
      <c r="N68" s="335"/>
      <c r="O68" s="335"/>
      <c r="P68" s="335"/>
      <c r="Q68" s="335"/>
      <c r="R68" s="335"/>
      <c r="S68" s="335"/>
      <c r="T68" s="335"/>
      <c r="U68" s="335"/>
      <c r="V68" s="335"/>
      <c r="W68" s="335"/>
      <c r="X68" s="335"/>
      <c r="Y68" s="335"/>
      <c r="Z68" s="335"/>
    </row>
    <row r="69" ht="57.0" customHeight="1">
      <c r="A69" s="333" t="s">
        <v>1018</v>
      </c>
      <c r="K69" s="335"/>
      <c r="L69" s="335"/>
      <c r="M69" s="335"/>
      <c r="N69" s="335"/>
      <c r="O69" s="335"/>
      <c r="P69" s="335"/>
      <c r="Q69" s="335"/>
      <c r="R69" s="335"/>
      <c r="S69" s="335"/>
      <c r="T69" s="335"/>
      <c r="U69" s="335"/>
      <c r="V69" s="335"/>
      <c r="W69" s="335"/>
      <c r="X69" s="335"/>
      <c r="Y69" s="335"/>
      <c r="Z69" s="335"/>
    </row>
    <row r="70" ht="57.0" customHeight="1">
      <c r="A70" s="333" t="s">
        <v>1019</v>
      </c>
      <c r="K70" s="335"/>
      <c r="L70" s="335"/>
      <c r="M70" s="335"/>
      <c r="N70" s="335"/>
      <c r="O70" s="335"/>
      <c r="P70" s="335"/>
      <c r="Q70" s="335"/>
      <c r="R70" s="335"/>
      <c r="S70" s="335"/>
      <c r="T70" s="335"/>
      <c r="U70" s="335"/>
      <c r="V70" s="335"/>
      <c r="W70" s="335"/>
      <c r="X70" s="335"/>
      <c r="Y70" s="335"/>
      <c r="Z70" s="335"/>
    </row>
    <row r="71" ht="57.0" customHeight="1">
      <c r="A71" s="333" t="s">
        <v>1020</v>
      </c>
      <c r="K71" s="335"/>
      <c r="L71" s="335"/>
      <c r="M71" s="335"/>
      <c r="N71" s="335"/>
      <c r="O71" s="335"/>
      <c r="P71" s="335"/>
      <c r="Q71" s="335"/>
      <c r="R71" s="335"/>
      <c r="S71" s="335"/>
      <c r="T71" s="335"/>
      <c r="U71" s="335"/>
      <c r="V71" s="335"/>
      <c r="W71" s="335"/>
      <c r="X71" s="335"/>
      <c r="Y71" s="335"/>
      <c r="Z71" s="335"/>
    </row>
    <row r="72" ht="57.0" customHeight="1">
      <c r="A72" s="333" t="s">
        <v>1021</v>
      </c>
      <c r="K72" s="335"/>
      <c r="L72" s="335"/>
      <c r="M72" s="335"/>
      <c r="N72" s="335"/>
      <c r="O72" s="335"/>
      <c r="P72" s="335"/>
      <c r="Q72" s="335"/>
      <c r="R72" s="335"/>
      <c r="S72" s="335"/>
      <c r="T72" s="335"/>
      <c r="U72" s="335"/>
      <c r="V72" s="335"/>
      <c r="W72" s="335"/>
      <c r="X72" s="335"/>
      <c r="Y72" s="335"/>
      <c r="Z72" s="335"/>
    </row>
    <row r="73" ht="57.0" customHeight="1">
      <c r="A73" s="333" t="s">
        <v>1022</v>
      </c>
      <c r="K73" s="335"/>
      <c r="L73" s="335"/>
      <c r="M73" s="335"/>
      <c r="N73" s="335"/>
      <c r="O73" s="335"/>
      <c r="P73" s="335"/>
      <c r="Q73" s="335"/>
      <c r="R73" s="335"/>
      <c r="S73" s="335"/>
      <c r="T73" s="335"/>
      <c r="U73" s="335"/>
      <c r="V73" s="335"/>
      <c r="W73" s="335"/>
      <c r="X73" s="335"/>
      <c r="Y73" s="335"/>
      <c r="Z73" s="335"/>
    </row>
    <row r="74" ht="57.0" customHeight="1">
      <c r="A74" s="333" t="s">
        <v>1023</v>
      </c>
      <c r="K74" s="335"/>
      <c r="L74" s="335"/>
      <c r="M74" s="335"/>
      <c r="N74" s="335"/>
      <c r="O74" s="335"/>
      <c r="P74" s="335"/>
      <c r="Q74" s="335"/>
      <c r="R74" s="335"/>
      <c r="S74" s="335"/>
      <c r="T74" s="335"/>
      <c r="U74" s="335"/>
      <c r="V74" s="335"/>
      <c r="W74" s="335"/>
      <c r="X74" s="335"/>
      <c r="Y74" s="335"/>
      <c r="Z74" s="335"/>
    </row>
    <row r="75" ht="57.0" customHeight="1">
      <c r="A75" s="333" t="s">
        <v>1024</v>
      </c>
      <c r="K75" s="335"/>
      <c r="L75" s="335"/>
      <c r="M75" s="335"/>
      <c r="N75" s="335"/>
      <c r="O75" s="335"/>
      <c r="P75" s="335"/>
      <c r="Q75" s="335"/>
      <c r="R75" s="335"/>
      <c r="S75" s="335"/>
      <c r="T75" s="335"/>
      <c r="U75" s="335"/>
      <c r="V75" s="335"/>
      <c r="W75" s="335"/>
      <c r="X75" s="335"/>
      <c r="Y75" s="335"/>
      <c r="Z75" s="335"/>
    </row>
    <row r="76" ht="57.0" customHeight="1">
      <c r="A76" s="333" t="s">
        <v>1025</v>
      </c>
      <c r="K76" s="335"/>
      <c r="L76" s="335"/>
      <c r="M76" s="335"/>
      <c r="N76" s="335"/>
      <c r="O76" s="335"/>
      <c r="P76" s="335"/>
      <c r="Q76" s="335"/>
      <c r="R76" s="335"/>
      <c r="S76" s="335"/>
      <c r="T76" s="335"/>
      <c r="U76" s="335"/>
      <c r="V76" s="335"/>
      <c r="W76" s="335"/>
      <c r="X76" s="335"/>
      <c r="Y76" s="335"/>
      <c r="Z76" s="335"/>
    </row>
    <row r="77" ht="57.0" customHeight="1">
      <c r="A77" s="333" t="s">
        <v>1026</v>
      </c>
      <c r="K77" s="335"/>
      <c r="L77" s="335"/>
      <c r="M77" s="335"/>
      <c r="N77" s="335"/>
      <c r="O77" s="335"/>
      <c r="P77" s="335"/>
      <c r="Q77" s="335"/>
      <c r="R77" s="335"/>
      <c r="S77" s="335"/>
      <c r="T77" s="335"/>
      <c r="U77" s="335"/>
      <c r="V77" s="335"/>
      <c r="W77" s="335"/>
      <c r="X77" s="335"/>
      <c r="Y77" s="335"/>
      <c r="Z77" s="335"/>
    </row>
    <row r="78" ht="57.0" customHeight="1">
      <c r="A78" s="333" t="s">
        <v>1027</v>
      </c>
      <c r="K78" s="335"/>
      <c r="L78" s="335"/>
      <c r="M78" s="335"/>
      <c r="N78" s="335"/>
      <c r="O78" s="335"/>
      <c r="P78" s="335"/>
      <c r="Q78" s="335"/>
      <c r="R78" s="335"/>
      <c r="S78" s="335"/>
      <c r="T78" s="335"/>
      <c r="U78" s="335"/>
      <c r="V78" s="335"/>
      <c r="W78" s="335"/>
      <c r="X78" s="335"/>
      <c r="Y78" s="335"/>
      <c r="Z78" s="335"/>
    </row>
    <row r="79" ht="57.0" customHeight="1">
      <c r="A79" s="333" t="s">
        <v>1028</v>
      </c>
      <c r="K79" s="335"/>
      <c r="L79" s="335"/>
      <c r="M79" s="335"/>
      <c r="N79" s="335"/>
      <c r="O79" s="335"/>
      <c r="P79" s="335"/>
      <c r="Q79" s="335"/>
      <c r="R79" s="335"/>
      <c r="S79" s="335"/>
      <c r="T79" s="335"/>
      <c r="U79" s="335"/>
      <c r="V79" s="335"/>
      <c r="W79" s="335"/>
      <c r="X79" s="335"/>
      <c r="Y79" s="335"/>
      <c r="Z79" s="335"/>
    </row>
    <row r="80" ht="57.0" customHeight="1">
      <c r="A80" s="333" t="s">
        <v>1029</v>
      </c>
      <c r="K80" s="335"/>
      <c r="L80" s="335"/>
      <c r="M80" s="335"/>
      <c r="N80" s="335"/>
      <c r="O80" s="335"/>
      <c r="P80" s="335"/>
      <c r="Q80" s="335"/>
      <c r="R80" s="335"/>
      <c r="S80" s="335"/>
      <c r="T80" s="335"/>
      <c r="U80" s="335"/>
      <c r="V80" s="335"/>
      <c r="W80" s="335"/>
      <c r="X80" s="335"/>
      <c r="Y80" s="335"/>
      <c r="Z80" s="335"/>
    </row>
    <row r="81" ht="57.0" customHeight="1">
      <c r="A81" s="336" t="s">
        <v>1030</v>
      </c>
      <c r="K81" s="335"/>
      <c r="L81" s="335"/>
      <c r="M81" s="335"/>
      <c r="N81" s="335"/>
      <c r="O81" s="335"/>
      <c r="P81" s="335"/>
      <c r="Q81" s="335"/>
      <c r="R81" s="335"/>
      <c r="S81" s="335"/>
      <c r="T81" s="335"/>
      <c r="U81" s="335"/>
      <c r="V81" s="335"/>
      <c r="W81" s="335"/>
      <c r="X81" s="335"/>
      <c r="Y81" s="335"/>
      <c r="Z81" s="335"/>
    </row>
    <row r="82" ht="69.75" customHeight="1">
      <c r="A82" s="336" t="s">
        <v>1031</v>
      </c>
      <c r="K82" s="335"/>
      <c r="L82" s="335"/>
      <c r="M82" s="335"/>
      <c r="N82" s="335"/>
      <c r="O82" s="335"/>
      <c r="P82" s="335"/>
      <c r="Q82" s="335"/>
      <c r="R82" s="335"/>
      <c r="S82" s="335"/>
      <c r="T82" s="335"/>
      <c r="U82" s="335"/>
      <c r="V82" s="335"/>
      <c r="W82" s="335"/>
      <c r="X82" s="335"/>
      <c r="Y82" s="335"/>
      <c r="Z82" s="335"/>
    </row>
    <row r="83" ht="57.0" customHeight="1">
      <c r="A83" s="333" t="s">
        <v>1032</v>
      </c>
      <c r="K83" s="335"/>
      <c r="L83" s="335"/>
      <c r="M83" s="335"/>
      <c r="N83" s="335"/>
      <c r="O83" s="335"/>
      <c r="P83" s="335"/>
      <c r="Q83" s="335"/>
      <c r="R83" s="335"/>
      <c r="S83" s="335"/>
      <c r="T83" s="335"/>
      <c r="U83" s="335"/>
      <c r="V83" s="335"/>
      <c r="W83" s="335"/>
      <c r="X83" s="335"/>
      <c r="Y83" s="335"/>
      <c r="Z83" s="335"/>
    </row>
    <row r="84" ht="57.0" customHeight="1">
      <c r="A84" s="333" t="s">
        <v>1033</v>
      </c>
      <c r="K84" s="335"/>
      <c r="L84" s="335"/>
      <c r="M84" s="335"/>
      <c r="N84" s="335"/>
      <c r="O84" s="335"/>
      <c r="P84" s="335"/>
      <c r="Q84" s="335"/>
      <c r="R84" s="335"/>
      <c r="S84" s="335"/>
      <c r="T84" s="335"/>
      <c r="U84" s="335"/>
      <c r="V84" s="335"/>
      <c r="W84" s="335"/>
      <c r="X84" s="335"/>
      <c r="Y84" s="335"/>
      <c r="Z84" s="335"/>
    </row>
    <row r="85" ht="57.0" customHeight="1">
      <c r="A85" s="336" t="s">
        <v>1034</v>
      </c>
      <c r="K85" s="335"/>
      <c r="L85" s="335"/>
      <c r="M85" s="335"/>
      <c r="N85" s="335"/>
      <c r="O85" s="335"/>
      <c r="P85" s="335"/>
      <c r="Q85" s="335"/>
      <c r="R85" s="335"/>
      <c r="S85" s="335"/>
      <c r="T85" s="335"/>
      <c r="U85" s="335"/>
      <c r="V85" s="335"/>
      <c r="W85" s="335"/>
      <c r="X85" s="335"/>
      <c r="Y85" s="335"/>
      <c r="Z85" s="335"/>
    </row>
    <row r="86" ht="57.0" customHeight="1">
      <c r="A86" s="333" t="s">
        <v>1035</v>
      </c>
      <c r="K86" s="335"/>
      <c r="L86" s="335"/>
      <c r="M86" s="335"/>
      <c r="N86" s="335"/>
      <c r="O86" s="335"/>
      <c r="P86" s="335"/>
      <c r="Q86" s="335"/>
      <c r="R86" s="335"/>
      <c r="S86" s="335"/>
      <c r="T86" s="335"/>
      <c r="U86" s="335"/>
      <c r="V86" s="335"/>
      <c r="W86" s="335"/>
      <c r="X86" s="335"/>
      <c r="Y86" s="335"/>
      <c r="Z86" s="335"/>
    </row>
    <row r="87" ht="57.0" customHeight="1">
      <c r="A87" s="333" t="s">
        <v>1036</v>
      </c>
      <c r="K87" s="335"/>
      <c r="L87" s="335"/>
      <c r="M87" s="335"/>
      <c r="N87" s="335"/>
      <c r="O87" s="335"/>
      <c r="P87" s="335"/>
      <c r="Q87" s="335"/>
      <c r="R87" s="335"/>
      <c r="S87" s="335"/>
      <c r="T87" s="335"/>
      <c r="U87" s="335"/>
      <c r="V87" s="335"/>
      <c r="W87" s="335"/>
      <c r="X87" s="335"/>
      <c r="Y87" s="335"/>
      <c r="Z87" s="335"/>
    </row>
    <row r="88" ht="57.0" customHeight="1">
      <c r="A88" s="333" t="s">
        <v>1037</v>
      </c>
      <c r="K88" s="335"/>
      <c r="L88" s="335"/>
      <c r="M88" s="335"/>
      <c r="N88" s="335"/>
      <c r="O88" s="335"/>
      <c r="P88" s="335"/>
      <c r="Q88" s="335"/>
      <c r="R88" s="335"/>
      <c r="S88" s="335"/>
      <c r="T88" s="335"/>
      <c r="U88" s="335"/>
      <c r="V88" s="335"/>
      <c r="W88" s="335"/>
      <c r="X88" s="335"/>
      <c r="Y88" s="335"/>
      <c r="Z88" s="335"/>
    </row>
    <row r="89" ht="57.0" customHeight="1">
      <c r="A89" s="333" t="s">
        <v>1038</v>
      </c>
      <c r="K89" s="335"/>
      <c r="L89" s="335"/>
      <c r="M89" s="335"/>
      <c r="N89" s="335"/>
      <c r="O89" s="335"/>
      <c r="P89" s="335"/>
      <c r="Q89" s="335"/>
      <c r="R89" s="335"/>
      <c r="S89" s="335"/>
      <c r="T89" s="335"/>
      <c r="U89" s="335"/>
      <c r="V89" s="335"/>
      <c r="W89" s="335"/>
      <c r="X89" s="335"/>
      <c r="Y89" s="335"/>
      <c r="Z89" s="335"/>
    </row>
    <row r="90" ht="57.0" customHeight="1">
      <c r="A90" s="333" t="s">
        <v>1039</v>
      </c>
      <c r="K90" s="335"/>
      <c r="L90" s="335"/>
      <c r="M90" s="335"/>
      <c r="N90" s="335"/>
      <c r="O90" s="335"/>
      <c r="P90" s="335"/>
      <c r="Q90" s="335"/>
      <c r="R90" s="335"/>
      <c r="S90" s="335"/>
      <c r="T90" s="335"/>
      <c r="U90" s="335"/>
      <c r="V90" s="335"/>
      <c r="W90" s="335"/>
      <c r="X90" s="335"/>
      <c r="Y90" s="335"/>
      <c r="Z90" s="335"/>
    </row>
    <row r="91" ht="57.0" customHeight="1">
      <c r="A91" s="333" t="s">
        <v>1040</v>
      </c>
      <c r="K91" s="335"/>
      <c r="L91" s="335"/>
      <c r="M91" s="335"/>
      <c r="N91" s="335"/>
      <c r="O91" s="335"/>
      <c r="P91" s="335"/>
      <c r="Q91" s="335"/>
      <c r="R91" s="335"/>
      <c r="S91" s="335"/>
      <c r="T91" s="335"/>
      <c r="U91" s="335"/>
      <c r="V91" s="335"/>
      <c r="W91" s="335"/>
      <c r="X91" s="335"/>
      <c r="Y91" s="335"/>
      <c r="Z91" s="335"/>
    </row>
    <row r="92" ht="57.0" customHeight="1">
      <c r="A92" s="333" t="s">
        <v>1041</v>
      </c>
      <c r="K92" s="335"/>
      <c r="L92" s="335"/>
      <c r="M92" s="335"/>
      <c r="N92" s="335"/>
      <c r="O92" s="335"/>
      <c r="P92" s="335"/>
      <c r="Q92" s="335"/>
      <c r="R92" s="335"/>
      <c r="S92" s="335"/>
      <c r="T92" s="335"/>
      <c r="U92" s="335"/>
      <c r="V92" s="335"/>
      <c r="W92" s="335"/>
      <c r="X92" s="335"/>
      <c r="Y92" s="335"/>
      <c r="Z92" s="335"/>
    </row>
    <row r="93" ht="90.75" customHeight="1">
      <c r="A93" s="333" t="s">
        <v>1042</v>
      </c>
      <c r="K93" s="335"/>
      <c r="L93" s="335"/>
      <c r="M93" s="335"/>
      <c r="N93" s="335"/>
      <c r="O93" s="335"/>
      <c r="P93" s="335"/>
      <c r="Q93" s="335"/>
      <c r="R93" s="335"/>
      <c r="S93" s="335"/>
      <c r="T93" s="335"/>
      <c r="U93" s="335"/>
      <c r="V93" s="335"/>
      <c r="W93" s="335"/>
      <c r="X93" s="335"/>
      <c r="Y93" s="335"/>
      <c r="Z93" s="335"/>
    </row>
    <row r="94" ht="57.0" customHeight="1">
      <c r="A94" s="333" t="s">
        <v>1043</v>
      </c>
      <c r="K94" s="335"/>
      <c r="L94" s="335"/>
      <c r="M94" s="335"/>
      <c r="N94" s="335"/>
      <c r="O94" s="335"/>
      <c r="P94" s="335"/>
      <c r="Q94" s="335"/>
      <c r="R94" s="335"/>
      <c r="S94" s="335"/>
      <c r="T94" s="335"/>
      <c r="U94" s="335"/>
      <c r="V94" s="335"/>
      <c r="W94" s="335"/>
      <c r="X94" s="335"/>
      <c r="Y94" s="335"/>
      <c r="Z94" s="335"/>
    </row>
    <row r="95" ht="57.0" customHeight="1">
      <c r="A95" s="333" t="s">
        <v>1044</v>
      </c>
      <c r="K95" s="335"/>
      <c r="L95" s="335"/>
      <c r="M95" s="335"/>
      <c r="N95" s="335"/>
      <c r="O95" s="335"/>
      <c r="P95" s="335"/>
      <c r="Q95" s="335"/>
      <c r="R95" s="335"/>
      <c r="S95" s="335"/>
      <c r="T95" s="335"/>
      <c r="U95" s="335"/>
      <c r="V95" s="335"/>
      <c r="W95" s="335"/>
      <c r="X95" s="335"/>
      <c r="Y95" s="335"/>
      <c r="Z95" s="335"/>
    </row>
    <row r="96" ht="57.0" customHeight="1">
      <c r="A96" s="333" t="s">
        <v>1045</v>
      </c>
      <c r="K96" s="335"/>
      <c r="L96" s="335"/>
      <c r="M96" s="335"/>
      <c r="N96" s="335"/>
      <c r="O96" s="335"/>
      <c r="P96" s="335"/>
      <c r="Q96" s="335"/>
      <c r="R96" s="335"/>
      <c r="S96" s="335"/>
      <c r="T96" s="335"/>
      <c r="U96" s="335"/>
      <c r="V96" s="335"/>
      <c r="W96" s="335"/>
      <c r="X96" s="335"/>
      <c r="Y96" s="335"/>
      <c r="Z96" s="335"/>
    </row>
    <row r="97" ht="57.0" customHeight="1">
      <c r="A97" s="333" t="s">
        <v>1046</v>
      </c>
      <c r="K97" s="335"/>
      <c r="L97" s="335"/>
      <c r="M97" s="335"/>
      <c r="N97" s="335"/>
      <c r="O97" s="335"/>
      <c r="P97" s="335"/>
      <c r="Q97" s="335"/>
      <c r="R97" s="335"/>
      <c r="S97" s="335"/>
      <c r="T97" s="335"/>
      <c r="U97" s="335"/>
      <c r="V97" s="335"/>
      <c r="W97" s="335"/>
      <c r="X97" s="335"/>
      <c r="Y97" s="335"/>
      <c r="Z97" s="335"/>
    </row>
    <row r="98" ht="57.0" customHeight="1">
      <c r="A98" s="314" t="s">
        <v>1047</v>
      </c>
      <c r="K98" s="335"/>
      <c r="L98" s="335"/>
      <c r="M98" s="335"/>
      <c r="N98" s="335"/>
      <c r="O98" s="335"/>
      <c r="P98" s="335"/>
      <c r="Q98" s="335"/>
      <c r="R98" s="335"/>
      <c r="S98" s="335"/>
      <c r="T98" s="335"/>
      <c r="U98" s="335"/>
      <c r="V98" s="335"/>
      <c r="W98" s="335"/>
      <c r="X98" s="335"/>
      <c r="Y98" s="335"/>
      <c r="Z98" s="335"/>
    </row>
    <row r="99" ht="57.0" customHeight="1">
      <c r="A99" s="314" t="s">
        <v>1048</v>
      </c>
      <c r="K99" s="335"/>
      <c r="L99" s="335"/>
      <c r="M99" s="335"/>
      <c r="N99" s="335"/>
      <c r="O99" s="335"/>
      <c r="P99" s="335"/>
      <c r="Q99" s="335"/>
      <c r="R99" s="335"/>
      <c r="S99" s="335"/>
      <c r="T99" s="335"/>
      <c r="U99" s="335"/>
      <c r="V99" s="335"/>
      <c r="W99" s="335"/>
      <c r="X99" s="335"/>
      <c r="Y99" s="335"/>
      <c r="Z99" s="335"/>
    </row>
    <row r="100" ht="57.0" customHeight="1">
      <c r="A100" s="314" t="s">
        <v>1049</v>
      </c>
      <c r="K100" s="335"/>
      <c r="L100" s="335"/>
      <c r="M100" s="335"/>
      <c r="N100" s="335"/>
      <c r="O100" s="335"/>
      <c r="P100" s="335"/>
      <c r="Q100" s="335"/>
      <c r="R100" s="335"/>
      <c r="S100" s="335"/>
      <c r="T100" s="335"/>
      <c r="U100" s="335"/>
      <c r="V100" s="335"/>
      <c r="W100" s="335"/>
      <c r="X100" s="335"/>
      <c r="Y100" s="335"/>
      <c r="Z100" s="335"/>
    </row>
    <row r="101" ht="57.0" customHeight="1">
      <c r="A101" s="333" t="s">
        <v>1050</v>
      </c>
      <c r="K101" s="335"/>
      <c r="L101" s="335"/>
      <c r="M101" s="335"/>
      <c r="N101" s="335"/>
      <c r="O101" s="335"/>
      <c r="P101" s="335"/>
      <c r="Q101" s="335"/>
      <c r="R101" s="335"/>
      <c r="S101" s="335"/>
      <c r="T101" s="335"/>
      <c r="U101" s="335"/>
      <c r="V101" s="335"/>
      <c r="W101" s="335"/>
      <c r="X101" s="335"/>
      <c r="Y101" s="335"/>
      <c r="Z101" s="335"/>
    </row>
    <row r="102" ht="57.0" customHeight="1">
      <c r="A102" s="333" t="s">
        <v>1051</v>
      </c>
      <c r="K102" s="335"/>
      <c r="L102" s="335"/>
      <c r="M102" s="335"/>
      <c r="N102" s="335"/>
      <c r="O102" s="335"/>
      <c r="P102" s="335"/>
      <c r="Q102" s="335"/>
      <c r="R102" s="335"/>
      <c r="S102" s="335"/>
      <c r="T102" s="335"/>
      <c r="U102" s="335"/>
      <c r="V102" s="335"/>
      <c r="W102" s="335"/>
      <c r="X102" s="335"/>
      <c r="Y102" s="335"/>
      <c r="Z102" s="335"/>
    </row>
    <row r="103" ht="57.0" customHeight="1">
      <c r="A103" s="333" t="s">
        <v>1052</v>
      </c>
      <c r="K103" s="335"/>
      <c r="L103" s="335"/>
      <c r="M103" s="335"/>
      <c r="N103" s="335"/>
      <c r="O103" s="335"/>
      <c r="P103" s="335"/>
      <c r="Q103" s="335"/>
      <c r="R103" s="335"/>
      <c r="S103" s="335"/>
      <c r="T103" s="335"/>
      <c r="U103" s="335"/>
      <c r="V103" s="335"/>
      <c r="W103" s="335"/>
      <c r="X103" s="335"/>
      <c r="Y103" s="335"/>
      <c r="Z103" s="335"/>
    </row>
    <row r="104" ht="57.0" customHeight="1">
      <c r="A104" s="333" t="s">
        <v>1053</v>
      </c>
      <c r="K104" s="335"/>
      <c r="L104" s="335"/>
      <c r="M104" s="335"/>
      <c r="N104" s="335"/>
      <c r="O104" s="335"/>
      <c r="P104" s="335"/>
      <c r="Q104" s="335"/>
      <c r="R104" s="335"/>
      <c r="S104" s="335"/>
      <c r="T104" s="335"/>
      <c r="U104" s="335"/>
      <c r="V104" s="335"/>
      <c r="W104" s="335"/>
      <c r="X104" s="335"/>
      <c r="Y104" s="335"/>
      <c r="Z104" s="335"/>
    </row>
    <row r="105" ht="57.0" customHeight="1">
      <c r="A105" s="333" t="s">
        <v>1054</v>
      </c>
      <c r="K105" s="335"/>
      <c r="L105" s="335"/>
      <c r="M105" s="335"/>
      <c r="N105" s="335"/>
      <c r="O105" s="335"/>
      <c r="P105" s="335"/>
      <c r="Q105" s="335"/>
      <c r="R105" s="335"/>
      <c r="S105" s="335"/>
      <c r="T105" s="335"/>
      <c r="U105" s="335"/>
      <c r="V105" s="335"/>
      <c r="W105" s="335"/>
      <c r="X105" s="335"/>
      <c r="Y105" s="335"/>
      <c r="Z105" s="335"/>
    </row>
    <row r="106" ht="57.0" customHeight="1">
      <c r="A106" s="333" t="s">
        <v>1055</v>
      </c>
      <c r="K106" s="335"/>
      <c r="L106" s="335"/>
      <c r="M106" s="335"/>
      <c r="N106" s="335"/>
      <c r="O106" s="335"/>
      <c r="P106" s="335"/>
      <c r="Q106" s="335"/>
      <c r="R106" s="335"/>
      <c r="S106" s="335"/>
      <c r="T106" s="335"/>
      <c r="U106" s="335"/>
      <c r="V106" s="335"/>
      <c r="W106" s="335"/>
      <c r="X106" s="335"/>
      <c r="Y106" s="335"/>
      <c r="Z106" s="335"/>
    </row>
    <row r="107" ht="57.0" customHeight="1">
      <c r="A107" s="333" t="s">
        <v>1056</v>
      </c>
      <c r="K107" s="335"/>
      <c r="L107" s="335"/>
      <c r="M107" s="335"/>
      <c r="N107" s="335"/>
      <c r="O107" s="335"/>
      <c r="P107" s="335"/>
      <c r="Q107" s="335"/>
      <c r="R107" s="335"/>
      <c r="S107" s="335"/>
      <c r="T107" s="335"/>
      <c r="U107" s="335"/>
      <c r="V107" s="335"/>
      <c r="W107" s="335"/>
      <c r="X107" s="335"/>
      <c r="Y107" s="335"/>
      <c r="Z107" s="335"/>
    </row>
    <row r="108" ht="57.0" customHeight="1">
      <c r="A108" s="333" t="s">
        <v>1057</v>
      </c>
      <c r="K108" s="335"/>
      <c r="L108" s="335"/>
      <c r="M108" s="335"/>
      <c r="N108" s="335"/>
      <c r="O108" s="335"/>
      <c r="P108" s="335"/>
      <c r="Q108" s="335"/>
      <c r="R108" s="335"/>
      <c r="S108" s="335"/>
      <c r="T108" s="335"/>
      <c r="U108" s="335"/>
      <c r="V108" s="335"/>
      <c r="W108" s="335"/>
      <c r="X108" s="335"/>
      <c r="Y108" s="335"/>
      <c r="Z108" s="335"/>
    </row>
    <row r="109" ht="90.0" customHeight="1">
      <c r="A109" s="333" t="s">
        <v>1058</v>
      </c>
      <c r="K109" s="335"/>
      <c r="L109" s="335"/>
      <c r="M109" s="335"/>
      <c r="N109" s="335"/>
      <c r="O109" s="335"/>
      <c r="P109" s="335"/>
      <c r="Q109" s="335"/>
      <c r="R109" s="335"/>
      <c r="S109" s="335"/>
      <c r="T109" s="335"/>
      <c r="U109" s="335"/>
      <c r="V109" s="335"/>
      <c r="W109" s="335"/>
      <c r="X109" s="335"/>
      <c r="Y109" s="335"/>
      <c r="Z109" s="335"/>
    </row>
    <row r="110" ht="57.0" customHeight="1">
      <c r="A110" s="333" t="s">
        <v>1059</v>
      </c>
      <c r="K110" s="335"/>
      <c r="L110" s="335"/>
      <c r="M110" s="335"/>
      <c r="N110" s="335"/>
      <c r="O110" s="335"/>
      <c r="P110" s="335"/>
      <c r="Q110" s="335"/>
      <c r="R110" s="335"/>
      <c r="S110" s="335"/>
      <c r="T110" s="335"/>
      <c r="U110" s="335"/>
      <c r="V110" s="335"/>
      <c r="W110" s="335"/>
      <c r="X110" s="335"/>
      <c r="Y110" s="335"/>
      <c r="Z110" s="335"/>
    </row>
    <row r="111" ht="57.0" customHeight="1">
      <c r="A111" s="333" t="s">
        <v>1060</v>
      </c>
      <c r="K111" s="335"/>
      <c r="L111" s="335"/>
      <c r="M111" s="335"/>
      <c r="N111" s="335"/>
      <c r="O111" s="335"/>
      <c r="P111" s="335"/>
      <c r="Q111" s="335"/>
      <c r="R111" s="335"/>
      <c r="S111" s="335"/>
      <c r="T111" s="335"/>
      <c r="U111" s="335"/>
      <c r="V111" s="335"/>
      <c r="W111" s="335"/>
      <c r="X111" s="335"/>
      <c r="Y111" s="335"/>
      <c r="Z111" s="335"/>
    </row>
    <row r="112" ht="57.0" customHeight="1">
      <c r="A112" s="333" t="s">
        <v>1061</v>
      </c>
      <c r="K112" s="335"/>
      <c r="L112" s="335"/>
      <c r="M112" s="335"/>
      <c r="N112" s="335"/>
      <c r="O112" s="335"/>
      <c r="P112" s="335"/>
      <c r="Q112" s="335"/>
      <c r="R112" s="335"/>
      <c r="S112" s="335"/>
      <c r="T112" s="335"/>
      <c r="U112" s="335"/>
      <c r="V112" s="335"/>
      <c r="W112" s="335"/>
      <c r="X112" s="335"/>
      <c r="Y112" s="335"/>
      <c r="Z112" s="335"/>
    </row>
    <row r="113" ht="57.0" customHeight="1">
      <c r="A113" s="333" t="s">
        <v>1062</v>
      </c>
      <c r="K113" s="335"/>
      <c r="L113" s="335"/>
      <c r="M113" s="335"/>
      <c r="N113" s="335"/>
      <c r="O113" s="335"/>
      <c r="P113" s="335"/>
      <c r="Q113" s="335"/>
      <c r="R113" s="335"/>
      <c r="S113" s="335"/>
      <c r="T113" s="335"/>
      <c r="U113" s="335"/>
      <c r="V113" s="335"/>
      <c r="W113" s="335"/>
      <c r="X113" s="335"/>
      <c r="Y113" s="335"/>
      <c r="Z113" s="335"/>
    </row>
    <row r="114" ht="57.0" customHeight="1">
      <c r="A114" s="333" t="s">
        <v>1063</v>
      </c>
      <c r="K114" s="335"/>
      <c r="L114" s="335"/>
      <c r="M114" s="335"/>
      <c r="N114" s="335"/>
      <c r="O114" s="335"/>
      <c r="P114" s="335"/>
      <c r="Q114" s="335"/>
      <c r="R114" s="335"/>
      <c r="S114" s="335"/>
      <c r="T114" s="335"/>
      <c r="U114" s="335"/>
      <c r="V114" s="335"/>
      <c r="W114" s="335"/>
      <c r="X114" s="335"/>
      <c r="Y114" s="335"/>
      <c r="Z114" s="335"/>
    </row>
    <row r="115" ht="57.0" customHeight="1">
      <c r="A115" s="333" t="s">
        <v>1064</v>
      </c>
      <c r="K115" s="335"/>
      <c r="L115" s="335"/>
      <c r="M115" s="335"/>
      <c r="N115" s="335"/>
      <c r="O115" s="335"/>
      <c r="P115" s="335"/>
      <c r="Q115" s="335"/>
      <c r="R115" s="335"/>
      <c r="S115" s="335"/>
      <c r="T115" s="335"/>
      <c r="U115" s="335"/>
      <c r="V115" s="335"/>
      <c r="W115" s="335"/>
      <c r="X115" s="335"/>
      <c r="Y115" s="335"/>
      <c r="Z115" s="335"/>
    </row>
    <row r="116" ht="57.0" customHeight="1">
      <c r="A116" s="333" t="s">
        <v>1065</v>
      </c>
      <c r="K116" s="335"/>
      <c r="L116" s="335"/>
      <c r="M116" s="335"/>
      <c r="N116" s="335"/>
      <c r="O116" s="335"/>
      <c r="P116" s="335"/>
      <c r="Q116" s="335"/>
      <c r="R116" s="335"/>
      <c r="S116" s="335"/>
      <c r="T116" s="335"/>
      <c r="U116" s="335"/>
      <c r="V116" s="335"/>
      <c r="W116" s="335"/>
      <c r="X116" s="335"/>
      <c r="Y116" s="335"/>
      <c r="Z116" s="335"/>
    </row>
    <row r="117" ht="57.0" customHeight="1">
      <c r="A117" s="333" t="s">
        <v>1066</v>
      </c>
      <c r="K117" s="335"/>
      <c r="L117" s="335"/>
      <c r="M117" s="335"/>
      <c r="N117" s="335"/>
      <c r="O117" s="335"/>
      <c r="P117" s="335"/>
      <c r="Q117" s="335"/>
      <c r="R117" s="335"/>
      <c r="S117" s="335"/>
      <c r="T117" s="335"/>
      <c r="U117" s="335"/>
      <c r="V117" s="335"/>
      <c r="W117" s="335"/>
      <c r="X117" s="335"/>
      <c r="Y117" s="335"/>
      <c r="Z117" s="335"/>
    </row>
    <row r="118" ht="57.0" customHeight="1">
      <c r="A118" s="333" t="s">
        <v>1067</v>
      </c>
      <c r="K118" s="335"/>
      <c r="L118" s="335"/>
      <c r="M118" s="335"/>
      <c r="N118" s="335"/>
      <c r="O118" s="335"/>
      <c r="P118" s="335"/>
      <c r="Q118" s="335"/>
      <c r="R118" s="335"/>
      <c r="S118" s="335"/>
      <c r="T118" s="335"/>
      <c r="U118" s="335"/>
      <c r="V118" s="335"/>
      <c r="W118" s="335"/>
      <c r="X118" s="335"/>
      <c r="Y118" s="335"/>
      <c r="Z118" s="335"/>
    </row>
    <row r="119" ht="76.5" customHeight="1">
      <c r="A119" s="333" t="s">
        <v>1068</v>
      </c>
      <c r="K119" s="335"/>
      <c r="L119" s="335"/>
      <c r="M119" s="335"/>
      <c r="N119" s="335"/>
      <c r="O119" s="335"/>
      <c r="P119" s="335"/>
      <c r="Q119" s="335"/>
      <c r="R119" s="335"/>
      <c r="S119" s="335"/>
      <c r="T119" s="335"/>
      <c r="U119" s="335"/>
      <c r="V119" s="335"/>
      <c r="W119" s="335"/>
      <c r="X119" s="335"/>
      <c r="Y119" s="335"/>
      <c r="Z119" s="335"/>
    </row>
    <row r="120" ht="57.0" customHeight="1">
      <c r="A120" s="333" t="s">
        <v>1069</v>
      </c>
      <c r="K120" s="335"/>
      <c r="L120" s="335"/>
      <c r="M120" s="335"/>
      <c r="N120" s="335"/>
      <c r="O120" s="335"/>
      <c r="P120" s="335"/>
      <c r="Q120" s="335"/>
      <c r="R120" s="335"/>
      <c r="S120" s="335"/>
      <c r="T120" s="335"/>
      <c r="U120" s="335"/>
      <c r="V120" s="335"/>
      <c r="W120" s="335"/>
      <c r="X120" s="335"/>
      <c r="Y120" s="335"/>
      <c r="Z120" s="335"/>
    </row>
    <row r="121" ht="57.0" customHeight="1">
      <c r="A121" s="333" t="s">
        <v>1070</v>
      </c>
      <c r="K121" s="335"/>
      <c r="L121" s="335"/>
      <c r="M121" s="335"/>
      <c r="N121" s="335"/>
      <c r="O121" s="335"/>
      <c r="P121" s="335"/>
      <c r="Q121" s="335"/>
      <c r="R121" s="335"/>
      <c r="S121" s="335"/>
      <c r="T121" s="335"/>
      <c r="U121" s="335"/>
      <c r="V121" s="335"/>
      <c r="W121" s="335"/>
      <c r="X121" s="335"/>
      <c r="Y121" s="335"/>
      <c r="Z121" s="335"/>
    </row>
    <row r="122" ht="57.0" customHeight="1">
      <c r="A122" s="333" t="s">
        <v>1071</v>
      </c>
      <c r="K122" s="335"/>
      <c r="L122" s="335"/>
      <c r="M122" s="335"/>
      <c r="N122" s="335"/>
      <c r="O122" s="335"/>
      <c r="P122" s="335"/>
      <c r="Q122" s="335"/>
      <c r="R122" s="335"/>
      <c r="S122" s="335"/>
      <c r="T122" s="335"/>
      <c r="U122" s="335"/>
      <c r="V122" s="335"/>
      <c r="W122" s="335"/>
      <c r="X122" s="335"/>
      <c r="Y122" s="335"/>
      <c r="Z122" s="335"/>
    </row>
    <row r="123" ht="57.0" customHeight="1">
      <c r="A123" s="333" t="s">
        <v>1072</v>
      </c>
      <c r="K123" s="335"/>
      <c r="L123" s="335"/>
      <c r="M123" s="335"/>
      <c r="N123" s="335"/>
      <c r="O123" s="335"/>
      <c r="P123" s="335"/>
      <c r="Q123" s="335"/>
      <c r="R123" s="335"/>
      <c r="S123" s="335"/>
      <c r="T123" s="335"/>
      <c r="U123" s="335"/>
      <c r="V123" s="335"/>
      <c r="W123" s="335"/>
      <c r="X123" s="335"/>
      <c r="Y123" s="335"/>
      <c r="Z123" s="335"/>
    </row>
    <row r="124" ht="57.0" customHeight="1">
      <c r="A124" s="333" t="s">
        <v>1073</v>
      </c>
      <c r="K124" s="335"/>
      <c r="L124" s="335"/>
      <c r="M124" s="335"/>
      <c r="N124" s="335"/>
      <c r="O124" s="335"/>
      <c r="P124" s="335"/>
      <c r="Q124" s="335"/>
      <c r="R124" s="335"/>
      <c r="S124" s="335"/>
      <c r="T124" s="335"/>
      <c r="U124" s="335"/>
      <c r="V124" s="335"/>
      <c r="W124" s="335"/>
      <c r="X124" s="335"/>
      <c r="Y124" s="335"/>
      <c r="Z124" s="335"/>
    </row>
    <row r="125" ht="57.0" customHeight="1">
      <c r="A125" s="333" t="s">
        <v>1074</v>
      </c>
      <c r="K125" s="335"/>
      <c r="L125" s="335"/>
      <c r="M125" s="335"/>
      <c r="N125" s="335"/>
      <c r="O125" s="335"/>
      <c r="P125" s="335"/>
      <c r="Q125" s="335"/>
      <c r="R125" s="335"/>
      <c r="S125" s="335"/>
      <c r="T125" s="335"/>
      <c r="U125" s="335"/>
      <c r="V125" s="335"/>
      <c r="W125" s="335"/>
      <c r="X125" s="335"/>
      <c r="Y125" s="335"/>
      <c r="Z125" s="335"/>
    </row>
    <row r="126" ht="57.0" customHeight="1">
      <c r="A126" s="333" t="s">
        <v>1075</v>
      </c>
      <c r="K126" s="335"/>
      <c r="L126" s="335"/>
      <c r="M126" s="335"/>
      <c r="N126" s="335"/>
      <c r="O126" s="335"/>
      <c r="P126" s="335"/>
      <c r="Q126" s="335"/>
      <c r="R126" s="335"/>
      <c r="S126" s="335"/>
      <c r="T126" s="335"/>
      <c r="U126" s="335"/>
      <c r="V126" s="335"/>
      <c r="W126" s="335"/>
      <c r="X126" s="335"/>
      <c r="Y126" s="335"/>
      <c r="Z126" s="335"/>
    </row>
    <row r="127" ht="57.0" customHeight="1">
      <c r="A127" s="333" t="s">
        <v>1076</v>
      </c>
      <c r="K127" s="335"/>
      <c r="L127" s="335"/>
      <c r="M127" s="335"/>
      <c r="N127" s="335"/>
      <c r="O127" s="335"/>
      <c r="P127" s="335"/>
      <c r="Q127" s="335"/>
      <c r="R127" s="335"/>
      <c r="S127" s="335"/>
      <c r="T127" s="335"/>
      <c r="U127" s="335"/>
      <c r="V127" s="335"/>
      <c r="W127" s="335"/>
      <c r="X127" s="335"/>
      <c r="Y127" s="335"/>
      <c r="Z127" s="335"/>
    </row>
    <row r="128" ht="57.0" customHeight="1">
      <c r="A128" s="333" t="s">
        <v>1077</v>
      </c>
      <c r="K128" s="335"/>
      <c r="L128" s="335"/>
      <c r="M128" s="335"/>
      <c r="N128" s="335"/>
      <c r="O128" s="335"/>
      <c r="P128" s="335"/>
      <c r="Q128" s="335"/>
      <c r="R128" s="335"/>
      <c r="S128" s="335"/>
      <c r="T128" s="335"/>
      <c r="U128" s="335"/>
      <c r="V128" s="335"/>
      <c r="W128" s="335"/>
      <c r="X128" s="335"/>
      <c r="Y128" s="335"/>
      <c r="Z128" s="335"/>
    </row>
    <row r="129" ht="57.0" customHeight="1">
      <c r="A129" s="333" t="s">
        <v>1078</v>
      </c>
      <c r="K129" s="335"/>
      <c r="L129" s="335"/>
      <c r="M129" s="335"/>
      <c r="N129" s="335"/>
      <c r="O129" s="335"/>
      <c r="P129" s="335"/>
      <c r="Q129" s="335"/>
      <c r="R129" s="335"/>
      <c r="S129" s="335"/>
      <c r="T129" s="335"/>
      <c r="U129" s="335"/>
      <c r="V129" s="335"/>
      <c r="W129" s="335"/>
      <c r="X129" s="335"/>
      <c r="Y129" s="335"/>
      <c r="Z129" s="335"/>
    </row>
    <row r="130" ht="57.0" customHeight="1">
      <c r="A130" s="333" t="s">
        <v>1079</v>
      </c>
      <c r="K130" s="335"/>
      <c r="L130" s="335"/>
      <c r="M130" s="335"/>
      <c r="N130" s="335"/>
      <c r="O130" s="335"/>
      <c r="P130" s="335"/>
      <c r="Q130" s="335"/>
      <c r="R130" s="335"/>
      <c r="S130" s="335"/>
      <c r="T130" s="335"/>
      <c r="U130" s="335"/>
      <c r="V130" s="335"/>
      <c r="W130" s="335"/>
      <c r="X130" s="335"/>
      <c r="Y130" s="335"/>
      <c r="Z130" s="335"/>
    </row>
    <row r="131" ht="57.0" customHeight="1">
      <c r="A131" s="333" t="s">
        <v>1080</v>
      </c>
      <c r="K131" s="335"/>
      <c r="L131" s="335"/>
      <c r="M131" s="335"/>
      <c r="N131" s="335"/>
      <c r="O131" s="335"/>
      <c r="P131" s="335"/>
      <c r="Q131" s="335"/>
      <c r="R131" s="335"/>
      <c r="S131" s="335"/>
      <c r="T131" s="335"/>
      <c r="U131" s="335"/>
      <c r="V131" s="335"/>
      <c r="W131" s="335"/>
      <c r="X131" s="335"/>
      <c r="Y131" s="335"/>
      <c r="Z131" s="335"/>
    </row>
    <row r="132" ht="57.0" customHeight="1">
      <c r="A132" s="333" t="s">
        <v>1081</v>
      </c>
      <c r="K132" s="335"/>
      <c r="L132" s="335"/>
      <c r="M132" s="335"/>
      <c r="N132" s="335"/>
      <c r="O132" s="335"/>
      <c r="P132" s="335"/>
      <c r="Q132" s="335"/>
      <c r="R132" s="335"/>
      <c r="S132" s="335"/>
      <c r="T132" s="335"/>
      <c r="U132" s="335"/>
      <c r="V132" s="335"/>
      <c r="W132" s="335"/>
      <c r="X132" s="335"/>
      <c r="Y132" s="335"/>
      <c r="Z132" s="335"/>
    </row>
    <row r="133" ht="57.0" customHeight="1">
      <c r="A133" s="333" t="s">
        <v>1082</v>
      </c>
      <c r="K133" s="335"/>
      <c r="L133" s="335"/>
      <c r="M133" s="335"/>
      <c r="N133" s="335"/>
      <c r="O133" s="335"/>
      <c r="P133" s="335"/>
      <c r="Q133" s="335"/>
      <c r="R133" s="335"/>
      <c r="S133" s="335"/>
      <c r="T133" s="335"/>
      <c r="U133" s="335"/>
      <c r="V133" s="335"/>
      <c r="W133" s="335"/>
      <c r="X133" s="335"/>
      <c r="Y133" s="335"/>
      <c r="Z133" s="335"/>
    </row>
    <row r="134" ht="57.0" customHeight="1">
      <c r="A134" s="333" t="s">
        <v>1083</v>
      </c>
      <c r="K134" s="335"/>
      <c r="L134" s="335"/>
      <c r="M134" s="335"/>
      <c r="N134" s="335"/>
      <c r="O134" s="335"/>
      <c r="P134" s="335"/>
      <c r="Q134" s="335"/>
      <c r="R134" s="335"/>
      <c r="S134" s="335"/>
      <c r="T134" s="335"/>
      <c r="U134" s="335"/>
      <c r="V134" s="335"/>
      <c r="W134" s="335"/>
      <c r="X134" s="335"/>
      <c r="Y134" s="335"/>
      <c r="Z134" s="335"/>
    </row>
    <row r="135" ht="57.0" customHeight="1">
      <c r="A135" s="333" t="s">
        <v>1084</v>
      </c>
      <c r="K135" s="335"/>
      <c r="L135" s="335"/>
      <c r="M135" s="335"/>
      <c r="N135" s="335"/>
      <c r="O135" s="335"/>
      <c r="P135" s="335"/>
      <c r="Q135" s="335"/>
      <c r="R135" s="335"/>
      <c r="S135" s="335"/>
      <c r="T135" s="335"/>
      <c r="U135" s="335"/>
      <c r="V135" s="335"/>
      <c r="W135" s="335"/>
      <c r="X135" s="335"/>
      <c r="Y135" s="335"/>
      <c r="Z135" s="335"/>
    </row>
    <row r="136" ht="57.0" customHeight="1">
      <c r="A136" s="333" t="s">
        <v>1085</v>
      </c>
      <c r="K136" s="335"/>
      <c r="L136" s="335"/>
      <c r="M136" s="335"/>
      <c r="N136" s="335"/>
      <c r="O136" s="335"/>
      <c r="P136" s="335"/>
      <c r="Q136" s="335"/>
      <c r="R136" s="335"/>
      <c r="S136" s="335"/>
      <c r="T136" s="335"/>
      <c r="U136" s="335"/>
      <c r="V136" s="335"/>
      <c r="W136" s="335"/>
      <c r="X136" s="335"/>
      <c r="Y136" s="335"/>
      <c r="Z136" s="335"/>
    </row>
    <row r="137" ht="57.0" customHeight="1">
      <c r="A137" s="333" t="s">
        <v>1086</v>
      </c>
      <c r="K137" s="335"/>
      <c r="L137" s="335"/>
      <c r="M137" s="335"/>
      <c r="N137" s="335"/>
      <c r="O137" s="335"/>
      <c r="P137" s="335"/>
      <c r="Q137" s="335"/>
      <c r="R137" s="335"/>
      <c r="S137" s="335"/>
      <c r="T137" s="335"/>
      <c r="U137" s="335"/>
      <c r="V137" s="335"/>
      <c r="W137" s="335"/>
      <c r="X137" s="335"/>
      <c r="Y137" s="335"/>
      <c r="Z137" s="335"/>
    </row>
    <row r="138" ht="57.0" customHeight="1">
      <c r="A138" s="333" t="s">
        <v>1087</v>
      </c>
      <c r="K138" s="335"/>
      <c r="L138" s="335"/>
      <c r="M138" s="335"/>
      <c r="N138" s="335"/>
      <c r="O138" s="335"/>
      <c r="P138" s="335"/>
      <c r="Q138" s="335"/>
      <c r="R138" s="335"/>
      <c r="S138" s="335"/>
      <c r="T138" s="335"/>
      <c r="U138" s="335"/>
      <c r="V138" s="335"/>
      <c r="W138" s="335"/>
      <c r="X138" s="335"/>
      <c r="Y138" s="335"/>
      <c r="Z138" s="335"/>
    </row>
    <row r="139" ht="36.0" customHeight="1">
      <c r="A139" s="333"/>
      <c r="B139" s="333"/>
      <c r="C139" s="333"/>
      <c r="D139" s="333"/>
      <c r="E139" s="333"/>
      <c r="F139" s="333"/>
      <c r="G139" s="333"/>
      <c r="H139" s="333"/>
      <c r="I139" s="333"/>
      <c r="J139" s="333"/>
      <c r="K139" s="335"/>
      <c r="L139" s="335"/>
      <c r="M139" s="335"/>
      <c r="N139" s="335"/>
      <c r="O139" s="335"/>
      <c r="P139" s="335"/>
      <c r="Q139" s="335"/>
      <c r="R139" s="335"/>
      <c r="S139" s="335"/>
      <c r="T139" s="335"/>
      <c r="U139" s="335"/>
      <c r="V139" s="335"/>
      <c r="W139" s="335"/>
      <c r="X139" s="335"/>
      <c r="Y139" s="335"/>
      <c r="Z139" s="335"/>
    </row>
    <row r="140" ht="36.0" customHeight="1">
      <c r="A140" s="183"/>
      <c r="B140" s="183"/>
      <c r="C140" s="183"/>
      <c r="D140" s="183"/>
      <c r="E140" s="183"/>
      <c r="F140" s="183"/>
      <c r="G140" s="183"/>
      <c r="H140" s="183"/>
      <c r="I140" s="183"/>
      <c r="J140" s="183"/>
      <c r="K140" s="335"/>
      <c r="L140" s="335"/>
      <c r="M140" s="335"/>
      <c r="N140" s="335"/>
      <c r="O140" s="335"/>
      <c r="P140" s="335"/>
      <c r="Q140" s="335"/>
      <c r="R140" s="335"/>
      <c r="S140" s="335"/>
      <c r="T140" s="335"/>
      <c r="U140" s="335"/>
      <c r="V140" s="335"/>
      <c r="W140" s="335"/>
      <c r="X140" s="335"/>
      <c r="Y140" s="335"/>
      <c r="Z140" s="335"/>
    </row>
    <row r="141" ht="36.0" customHeight="1">
      <c r="A141" s="335"/>
      <c r="B141" s="335"/>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row>
    <row r="142" ht="36.0" customHeight="1">
      <c r="A142" s="332" t="s">
        <v>1088</v>
      </c>
      <c r="B142" s="9"/>
      <c r="C142" s="9"/>
      <c r="D142" s="9"/>
      <c r="E142" s="9"/>
      <c r="F142" s="9"/>
      <c r="G142" s="9"/>
      <c r="H142" s="9"/>
      <c r="I142" s="9"/>
      <c r="J142" s="10"/>
      <c r="K142" s="337"/>
      <c r="L142" s="337"/>
      <c r="M142" s="337"/>
      <c r="N142" s="337"/>
      <c r="O142" s="337"/>
      <c r="P142" s="337"/>
      <c r="Q142" s="337"/>
      <c r="R142" s="337"/>
      <c r="S142" s="337"/>
      <c r="T142" s="337"/>
      <c r="U142" s="337"/>
      <c r="V142" s="337"/>
      <c r="W142" s="337"/>
      <c r="X142" s="337"/>
      <c r="Y142" s="337"/>
      <c r="Z142" s="337"/>
    </row>
    <row r="143" ht="36.0" customHeight="1">
      <c r="A143" s="183"/>
      <c r="K143" s="335"/>
      <c r="L143" s="335"/>
      <c r="M143" s="335"/>
      <c r="N143" s="335"/>
      <c r="O143" s="335"/>
      <c r="P143" s="335"/>
      <c r="Q143" s="335"/>
      <c r="R143" s="335"/>
      <c r="S143" s="335"/>
      <c r="T143" s="335"/>
      <c r="U143" s="335"/>
      <c r="V143" s="335"/>
      <c r="W143" s="335"/>
      <c r="X143" s="335"/>
      <c r="Y143" s="335"/>
      <c r="Z143" s="335"/>
    </row>
    <row r="144" ht="66.75" customHeight="1">
      <c r="A144" s="333" t="s">
        <v>1089</v>
      </c>
      <c r="K144" s="335"/>
      <c r="L144" s="335"/>
      <c r="M144" s="335"/>
      <c r="N144" s="335"/>
      <c r="O144" s="335"/>
      <c r="P144" s="335"/>
      <c r="Q144" s="335"/>
      <c r="R144" s="335"/>
      <c r="S144" s="335"/>
      <c r="T144" s="335"/>
      <c r="U144" s="335"/>
      <c r="V144" s="335"/>
      <c r="W144" s="335"/>
      <c r="X144" s="335"/>
      <c r="Y144" s="335"/>
      <c r="Z144" s="335"/>
    </row>
    <row r="145" ht="46.5" customHeight="1">
      <c r="A145" s="333" t="s">
        <v>1090</v>
      </c>
      <c r="K145" s="335"/>
      <c r="L145" s="335"/>
      <c r="M145" s="335"/>
      <c r="N145" s="335"/>
      <c r="O145" s="335"/>
      <c r="P145" s="335"/>
      <c r="Q145" s="335"/>
      <c r="R145" s="335"/>
      <c r="S145" s="335"/>
      <c r="T145" s="335"/>
      <c r="U145" s="335"/>
      <c r="V145" s="335"/>
      <c r="W145" s="335"/>
      <c r="X145" s="335"/>
      <c r="Y145" s="335"/>
      <c r="Z145" s="335"/>
    </row>
    <row r="146" ht="60.0" customHeight="1">
      <c r="A146" s="333" t="s">
        <v>1091</v>
      </c>
      <c r="K146" s="335"/>
      <c r="L146" s="335"/>
      <c r="M146" s="335"/>
      <c r="N146" s="335"/>
      <c r="O146" s="335"/>
      <c r="P146" s="335"/>
      <c r="Q146" s="335"/>
      <c r="R146" s="335"/>
      <c r="S146" s="335"/>
      <c r="T146" s="335"/>
      <c r="U146" s="335"/>
      <c r="V146" s="335"/>
      <c r="W146" s="335"/>
      <c r="X146" s="335"/>
      <c r="Y146" s="335"/>
      <c r="Z146" s="335"/>
    </row>
    <row r="147" ht="36.0" customHeight="1">
      <c r="A147" s="333" t="s">
        <v>1092</v>
      </c>
      <c r="K147" s="335"/>
      <c r="L147" s="335"/>
      <c r="M147" s="335"/>
      <c r="N147" s="335"/>
      <c r="O147" s="335"/>
      <c r="P147" s="335"/>
      <c r="Q147" s="335"/>
      <c r="R147" s="335"/>
      <c r="S147" s="335"/>
      <c r="T147" s="335"/>
      <c r="U147" s="335"/>
      <c r="V147" s="335"/>
      <c r="W147" s="335"/>
      <c r="X147" s="335"/>
      <c r="Y147" s="335"/>
      <c r="Z147" s="335"/>
    </row>
    <row r="148" ht="36.0" customHeight="1">
      <c r="A148" s="333" t="s">
        <v>1093</v>
      </c>
      <c r="K148" s="335"/>
      <c r="L148" s="335"/>
      <c r="M148" s="335"/>
      <c r="N148" s="335"/>
      <c r="O148" s="335"/>
      <c r="P148" s="335"/>
      <c r="Q148" s="335"/>
      <c r="R148" s="335"/>
      <c r="S148" s="335"/>
      <c r="T148" s="335"/>
      <c r="U148" s="335"/>
      <c r="V148" s="335"/>
      <c r="W148" s="335"/>
      <c r="X148" s="335"/>
      <c r="Y148" s="335"/>
      <c r="Z148" s="335"/>
    </row>
    <row r="149" ht="60.0" customHeight="1">
      <c r="A149" s="333" t="s">
        <v>1094</v>
      </c>
      <c r="K149" s="335"/>
      <c r="L149" s="335"/>
      <c r="M149" s="335"/>
      <c r="N149" s="335"/>
      <c r="O149" s="335"/>
      <c r="P149" s="335"/>
      <c r="Q149" s="335"/>
      <c r="R149" s="335"/>
      <c r="S149" s="335"/>
      <c r="T149" s="335"/>
      <c r="U149" s="335"/>
      <c r="V149" s="335"/>
      <c r="W149" s="335"/>
      <c r="X149" s="335"/>
      <c r="Y149" s="335"/>
      <c r="Z149" s="335"/>
    </row>
    <row r="150" ht="36.0" customHeight="1">
      <c r="A150" s="333" t="s">
        <v>1095</v>
      </c>
      <c r="K150" s="335"/>
      <c r="L150" s="335"/>
      <c r="M150" s="335"/>
      <c r="N150" s="335"/>
      <c r="O150" s="335"/>
      <c r="P150" s="335"/>
      <c r="Q150" s="335"/>
      <c r="R150" s="335"/>
      <c r="S150" s="335"/>
      <c r="T150" s="335"/>
      <c r="U150" s="335"/>
      <c r="V150" s="335"/>
      <c r="W150" s="335"/>
      <c r="X150" s="335"/>
      <c r="Y150" s="335"/>
      <c r="Z150" s="335"/>
    </row>
    <row r="151" ht="36.0" customHeight="1">
      <c r="A151" s="333" t="s">
        <v>1096</v>
      </c>
      <c r="K151" s="335"/>
      <c r="L151" s="335"/>
      <c r="M151" s="335"/>
      <c r="N151" s="335"/>
      <c r="O151" s="335"/>
      <c r="P151" s="335"/>
      <c r="Q151" s="335"/>
      <c r="R151" s="335"/>
      <c r="S151" s="335"/>
      <c r="T151" s="335"/>
      <c r="U151" s="335"/>
      <c r="V151" s="335"/>
      <c r="W151" s="335"/>
      <c r="X151" s="335"/>
      <c r="Y151" s="335"/>
      <c r="Z151" s="335"/>
    </row>
    <row r="152" ht="61.5" customHeight="1">
      <c r="A152" s="333" t="s">
        <v>1097</v>
      </c>
      <c r="K152" s="335"/>
      <c r="L152" s="335"/>
      <c r="M152" s="335"/>
      <c r="N152" s="335"/>
      <c r="O152" s="335"/>
      <c r="P152" s="335"/>
      <c r="Q152" s="335"/>
      <c r="R152" s="335"/>
      <c r="S152" s="335"/>
      <c r="T152" s="335"/>
      <c r="U152" s="335"/>
      <c r="V152" s="335"/>
      <c r="W152" s="335"/>
      <c r="X152" s="335"/>
      <c r="Y152" s="335"/>
      <c r="Z152" s="335"/>
    </row>
    <row r="153" ht="18.75" customHeight="1">
      <c r="A153" s="314" t="s">
        <v>1098</v>
      </c>
      <c r="K153" s="335"/>
      <c r="L153" s="335"/>
      <c r="M153" s="335"/>
      <c r="N153" s="335"/>
      <c r="O153" s="335"/>
      <c r="P153" s="335"/>
      <c r="Q153" s="335"/>
      <c r="R153" s="335"/>
      <c r="S153" s="335"/>
      <c r="T153" s="335"/>
      <c r="U153" s="335"/>
      <c r="V153" s="335"/>
      <c r="W153" s="335"/>
      <c r="X153" s="335"/>
      <c r="Y153" s="335"/>
      <c r="Z153" s="335"/>
    </row>
    <row r="154" ht="36.0" customHeight="1">
      <c r="A154" s="183" t="s">
        <v>1099</v>
      </c>
      <c r="K154" s="335"/>
      <c r="L154" s="335"/>
      <c r="M154" s="335"/>
      <c r="N154" s="335"/>
      <c r="O154" s="335"/>
      <c r="P154" s="335"/>
      <c r="Q154" s="335"/>
      <c r="R154" s="335"/>
      <c r="S154" s="335"/>
      <c r="T154" s="335"/>
      <c r="U154" s="335"/>
      <c r="V154" s="335"/>
      <c r="W154" s="335"/>
      <c r="X154" s="335"/>
      <c r="Y154" s="335"/>
      <c r="Z154" s="335"/>
    </row>
    <row r="155" ht="36.0" customHeight="1">
      <c r="A155" s="183" t="s">
        <v>1100</v>
      </c>
      <c r="K155" s="335"/>
      <c r="L155" s="335"/>
      <c r="M155" s="335"/>
      <c r="N155" s="335"/>
      <c r="O155" s="335"/>
      <c r="P155" s="335"/>
      <c r="Q155" s="335"/>
      <c r="R155" s="335"/>
      <c r="S155" s="335"/>
      <c r="T155" s="335"/>
      <c r="U155" s="335"/>
      <c r="V155" s="335"/>
      <c r="W155" s="335"/>
      <c r="X155" s="335"/>
      <c r="Y155" s="335"/>
      <c r="Z155" s="335"/>
    </row>
    <row r="156" ht="36.0" customHeight="1">
      <c r="A156" s="183" t="s">
        <v>1101</v>
      </c>
      <c r="K156" s="335"/>
      <c r="L156" s="335"/>
      <c r="M156" s="335"/>
      <c r="N156" s="335"/>
      <c r="O156" s="335"/>
      <c r="P156" s="335"/>
      <c r="Q156" s="335"/>
      <c r="R156" s="335"/>
      <c r="S156" s="335"/>
      <c r="T156" s="335"/>
      <c r="U156" s="335"/>
      <c r="V156" s="335"/>
      <c r="W156" s="335"/>
      <c r="X156" s="335"/>
      <c r="Y156" s="335"/>
      <c r="Z156" s="335"/>
    </row>
    <row r="157" ht="36.0" customHeight="1">
      <c r="A157" s="183" t="s">
        <v>1102</v>
      </c>
      <c r="K157" s="335"/>
      <c r="L157" s="335"/>
      <c r="M157" s="335"/>
      <c r="N157" s="335"/>
      <c r="O157" s="335"/>
      <c r="P157" s="335"/>
      <c r="Q157" s="335"/>
      <c r="R157" s="335"/>
      <c r="S157" s="335"/>
      <c r="T157" s="335"/>
      <c r="U157" s="335"/>
      <c r="V157" s="335"/>
      <c r="W157" s="335"/>
      <c r="X157" s="335"/>
      <c r="Y157" s="335"/>
      <c r="Z157" s="335"/>
    </row>
    <row r="158" ht="36.0" customHeight="1">
      <c r="A158" s="183" t="s">
        <v>1103</v>
      </c>
      <c r="K158" s="335"/>
      <c r="L158" s="335"/>
      <c r="M158" s="335"/>
      <c r="N158" s="335"/>
      <c r="O158" s="335"/>
      <c r="P158" s="335"/>
      <c r="Q158" s="335"/>
      <c r="R158" s="335"/>
      <c r="S158" s="335"/>
      <c r="T158" s="335"/>
      <c r="U158" s="335"/>
      <c r="V158" s="335"/>
      <c r="W158" s="335"/>
      <c r="X158" s="335"/>
      <c r="Y158" s="335"/>
      <c r="Z158" s="335"/>
    </row>
    <row r="159" ht="36.0" customHeight="1">
      <c r="A159" s="183" t="s">
        <v>1104</v>
      </c>
      <c r="K159" s="335"/>
      <c r="L159" s="335"/>
      <c r="M159" s="335"/>
      <c r="N159" s="335"/>
      <c r="O159" s="335"/>
      <c r="P159" s="335"/>
      <c r="Q159" s="335"/>
      <c r="R159" s="335"/>
      <c r="S159" s="335"/>
      <c r="T159" s="335"/>
      <c r="U159" s="335"/>
      <c r="V159" s="335"/>
      <c r="W159" s="335"/>
      <c r="X159" s="335"/>
      <c r="Y159" s="335"/>
      <c r="Z159" s="335"/>
    </row>
    <row r="160" ht="36.0" customHeight="1">
      <c r="A160" s="183" t="s">
        <v>1105</v>
      </c>
      <c r="K160" s="335"/>
      <c r="L160" s="335"/>
      <c r="M160" s="335"/>
      <c r="N160" s="335"/>
      <c r="O160" s="335"/>
      <c r="P160" s="335"/>
      <c r="Q160" s="335"/>
      <c r="R160" s="335"/>
      <c r="S160" s="335"/>
      <c r="T160" s="335"/>
      <c r="U160" s="335"/>
      <c r="V160" s="335"/>
      <c r="W160" s="335"/>
      <c r="X160" s="335"/>
      <c r="Y160" s="335"/>
      <c r="Z160" s="335"/>
    </row>
    <row r="161" ht="36.0" customHeight="1">
      <c r="A161" s="183" t="s">
        <v>1106</v>
      </c>
      <c r="K161" s="335"/>
      <c r="L161" s="335"/>
      <c r="M161" s="335"/>
      <c r="N161" s="335"/>
      <c r="O161" s="335"/>
      <c r="P161" s="335"/>
      <c r="Q161" s="335"/>
      <c r="R161" s="335"/>
      <c r="S161" s="335"/>
      <c r="T161" s="335"/>
      <c r="U161" s="335"/>
      <c r="V161" s="335"/>
      <c r="W161" s="335"/>
      <c r="X161" s="335"/>
      <c r="Y161" s="335"/>
      <c r="Z161" s="335"/>
    </row>
    <row r="162" ht="36.0" customHeight="1">
      <c r="A162" s="183" t="s">
        <v>1107</v>
      </c>
      <c r="K162" s="335"/>
      <c r="L162" s="335"/>
      <c r="M162" s="335"/>
      <c r="N162" s="335"/>
      <c r="O162" s="335"/>
      <c r="P162" s="335"/>
      <c r="Q162" s="335"/>
      <c r="R162" s="335"/>
      <c r="S162" s="335"/>
      <c r="T162" s="335"/>
      <c r="U162" s="335"/>
      <c r="V162" s="335"/>
      <c r="W162" s="335"/>
      <c r="X162" s="335"/>
      <c r="Y162" s="335"/>
      <c r="Z162" s="335"/>
    </row>
    <row r="163" ht="36.0" customHeight="1">
      <c r="A163" s="183"/>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row>
    <row r="164" ht="42.75" customHeight="1">
      <c r="A164" s="333" t="s">
        <v>1108</v>
      </c>
      <c r="K164" s="335"/>
      <c r="L164" s="335"/>
      <c r="M164" s="335"/>
      <c r="N164" s="335"/>
      <c r="O164" s="335"/>
      <c r="P164" s="335"/>
      <c r="Q164" s="335"/>
      <c r="R164" s="335"/>
      <c r="S164" s="335"/>
      <c r="T164" s="335"/>
      <c r="U164" s="335"/>
      <c r="V164" s="335"/>
      <c r="W164" s="335"/>
      <c r="X164" s="335"/>
      <c r="Y164" s="335"/>
      <c r="Z164" s="335"/>
    </row>
    <row r="165" ht="40.5" customHeight="1">
      <c r="A165" s="333" t="s">
        <v>1109</v>
      </c>
      <c r="K165" s="335"/>
      <c r="L165" s="335"/>
      <c r="M165" s="335"/>
      <c r="N165" s="335"/>
      <c r="O165" s="335"/>
      <c r="P165" s="335"/>
      <c r="Q165" s="335"/>
      <c r="R165" s="335"/>
      <c r="S165" s="335"/>
      <c r="T165" s="335"/>
      <c r="U165" s="335"/>
      <c r="V165" s="335"/>
      <c r="W165" s="335"/>
      <c r="X165" s="335"/>
      <c r="Y165" s="335"/>
      <c r="Z165" s="335"/>
    </row>
    <row r="166" ht="36.0" customHeight="1">
      <c r="A166" s="183"/>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row>
    <row r="167" ht="36.0" customHeight="1">
      <c r="A167" s="335"/>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row>
    <row r="168" ht="36.0" customHeight="1">
      <c r="A168" s="335"/>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row>
    <row r="169" ht="36.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6.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6.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6.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6.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6.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6.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6.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6.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6.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6.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6.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6.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6.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6.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6.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6.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6.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6.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6.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6.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6.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6.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6.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6.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6.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6.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6.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6.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6.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6.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6.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6.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6.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6.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6.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6.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6.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6.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6.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6.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6.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6.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6.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6.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6.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6.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6.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6.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6.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6.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6.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36.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36.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36.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36.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36.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36.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36.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36.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36.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36.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36.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36.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36.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36.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36.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36.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36.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36.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36.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36.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36.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36.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36.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36.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36.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36.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36.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36.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36.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36.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36.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36.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36.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36.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36.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36.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36.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36.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36.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36.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36.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36.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36.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36.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36.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36.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36.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36.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36.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36.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36.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36.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36.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36.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36.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36.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36.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36.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36.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36.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36.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36.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36.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36.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36.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36.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36.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36.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36.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36.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36.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36.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36.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36.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36.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36.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36.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36.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36.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36.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36.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36.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36.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36.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36.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36.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36.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36.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36.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36.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36.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36.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36.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36.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36.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36.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36.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36.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36.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36.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36.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36.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36.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36.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36.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36.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36.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36.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36.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36.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36.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36.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36.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36.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36.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36.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36.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36.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36.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36.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36.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36.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36.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36.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36.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36.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36.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36.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36.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36.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36.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36.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36.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36.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36.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36.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36.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36.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36.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36.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36.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36.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36.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36.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36.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36.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36.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36.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36.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36.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36.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36.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36.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36.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36.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36.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36.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36.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36.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36.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36.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36.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36.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36.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36.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36.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36.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36.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36.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36.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36.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36.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36.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36.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36.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36.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36.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36.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36.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36.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36.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36.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36.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36.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36.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36.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36.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36.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36.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36.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36.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36.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36.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36.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36.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36.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36.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36.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36.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36.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36.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36.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36.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36.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36.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36.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36.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36.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36.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36.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36.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36.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36.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36.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36.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36.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36.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36.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36.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36.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36.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36.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36.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36.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36.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36.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36.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36.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36.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36.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36.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36.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36.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36.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36.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36.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36.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36.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36.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36.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36.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36.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36.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36.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36.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36.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36.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36.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36.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36.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36.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36.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36.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36.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36.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36.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36.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36.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36.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36.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36.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36.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36.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36.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36.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36.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36.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36.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36.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36.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36.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36.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36.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36.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36.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36.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36.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36.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36.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36.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36.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36.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36.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36.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36.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36.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36.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36.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36.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36.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36.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36.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36.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36.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36.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36.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36.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36.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36.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36.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36.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36.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36.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36.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36.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36.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36.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36.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36.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36.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36.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36.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36.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36.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36.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36.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36.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36.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36.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36.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36.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36.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36.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36.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36.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36.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36.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36.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36.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36.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36.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36.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36.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36.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36.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36.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36.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36.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36.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36.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36.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36.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36.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36.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36.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36.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36.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36.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36.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36.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36.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36.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36.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36.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36.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36.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36.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36.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36.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36.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36.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36.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36.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36.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36.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36.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36.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36.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36.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36.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36.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36.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36.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36.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36.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36.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36.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36.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36.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36.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36.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36.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36.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36.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36.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36.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36.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36.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36.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36.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36.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36.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36.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36.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36.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36.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36.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36.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36.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36.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36.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36.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36.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36.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36.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36.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36.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36.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36.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36.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36.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36.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36.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36.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36.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36.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36.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36.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36.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36.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36.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36.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36.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36.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36.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36.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36.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36.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36.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36.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36.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36.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36.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36.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36.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36.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36.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36.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36.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36.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36.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36.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36.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36.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36.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36.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36.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36.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36.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36.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36.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36.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36.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36.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36.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36.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36.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36.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36.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36.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36.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36.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36.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36.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36.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36.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36.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36.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36.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36.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36.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36.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36.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36.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36.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36.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36.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36.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36.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36.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36.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36.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36.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36.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36.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36.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36.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36.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36.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36.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36.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36.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36.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36.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36.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36.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36.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36.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36.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36.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36.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36.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36.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36.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36.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36.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36.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36.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36.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36.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36.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36.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36.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36.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36.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36.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36.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36.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36.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36.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36.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36.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36.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36.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36.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36.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36.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36.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36.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36.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36.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36.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36.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36.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36.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36.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36.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36.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36.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36.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36.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36.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36.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36.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36.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36.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36.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36.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36.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36.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36.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36.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36.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36.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36.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36.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36.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36.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36.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36.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36.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36.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36.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36.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36.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36.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36.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36.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36.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36.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36.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36.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36.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36.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36.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36.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36.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36.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36.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36.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36.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36.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36.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36.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36.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36.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36.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36.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36.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36.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36.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36.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36.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36.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36.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36.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36.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36.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36.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36.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36.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36.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36.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36.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36.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36.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36.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36.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36.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36.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36.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36.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36.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36.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36.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36.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36.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36.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36.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36.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36.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36.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36.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36.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36.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36.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36.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36.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36.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36.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36.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36.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36.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36.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36.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36.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36.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36.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36.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36.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36.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36.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36.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36.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36.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36.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36.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36.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36.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36.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36.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36.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36.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36.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36.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36.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36.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36.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36.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36.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36.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36.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36.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36.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36.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36.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36.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36.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36.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36.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36.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36.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36.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36.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36.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36.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36.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36.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36.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36.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36.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36.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36.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36.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36.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36.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36.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36.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36.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36.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36.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36.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36.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36.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36.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36.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36.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36.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36.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36.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36.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36.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36.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36.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36.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36.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36.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36.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36.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36.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36.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36.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36.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36.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36.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36.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36.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36.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36.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36.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36.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36.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36.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36.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36.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36.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36.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36.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36.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36.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36.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36.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36.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36.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36.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36.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36.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36.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36.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36.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36.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36.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36.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36.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36.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36.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36.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36.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36.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36.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36.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36.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36.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36.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36.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36.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36.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36.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36.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36.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36.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36.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36.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36.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36.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36.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36.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36.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36.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36.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36.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36.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36.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36.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36.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36.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36.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36.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36.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36.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59">
    <mergeCell ref="A1:J1"/>
    <mergeCell ref="A2:J2"/>
    <mergeCell ref="A3:J3"/>
    <mergeCell ref="A4:J4"/>
    <mergeCell ref="A5:J5"/>
    <mergeCell ref="A7:J7"/>
    <mergeCell ref="A8:J8"/>
    <mergeCell ref="A10:J10"/>
    <mergeCell ref="A11:J11"/>
    <mergeCell ref="A12:J12"/>
    <mergeCell ref="A13:J13"/>
    <mergeCell ref="A14:J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J93"/>
    <mergeCell ref="A94:J94"/>
    <mergeCell ref="A95:J95"/>
    <mergeCell ref="A96:J96"/>
    <mergeCell ref="A97:J97"/>
    <mergeCell ref="A98:J98"/>
    <mergeCell ref="A99:J99"/>
    <mergeCell ref="A100:J100"/>
    <mergeCell ref="A160:J160"/>
    <mergeCell ref="A161:J161"/>
    <mergeCell ref="A162:J162"/>
    <mergeCell ref="A164:J164"/>
    <mergeCell ref="A165:J165"/>
    <mergeCell ref="A153:J153"/>
    <mergeCell ref="A154:J154"/>
    <mergeCell ref="A155:J155"/>
    <mergeCell ref="A156:J156"/>
    <mergeCell ref="A157:J157"/>
    <mergeCell ref="A158:J158"/>
    <mergeCell ref="A159:J159"/>
    <mergeCell ref="A101:J101"/>
    <mergeCell ref="A102:J102"/>
    <mergeCell ref="A103:J103"/>
    <mergeCell ref="A104:J104"/>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42:J142"/>
    <mergeCell ref="A143:J143"/>
    <mergeCell ref="A144:J144"/>
    <mergeCell ref="A145:J145"/>
    <mergeCell ref="A146:J146"/>
    <mergeCell ref="A147:J147"/>
    <mergeCell ref="A148:J148"/>
    <mergeCell ref="A149:J149"/>
    <mergeCell ref="A150:J150"/>
    <mergeCell ref="A151:J151"/>
    <mergeCell ref="A152:J152"/>
  </mergeCells>
  <hyperlinks>
    <hyperlink r:id="rId1" ref="A8"/>
  </hyperlinks>
  <printOptions/>
  <pageMargins bottom="0.75" footer="0.0" header="0.0" left="0.7" right="0.7" top="0.75"/>
  <pageSetup orientation="landscape"/>
  <headerFooter>
    <oddHeader>&amp;L  &amp;C000000  &amp;R  </oddHeader>
    <oddFooter>&amp;C    </oddFooter>
  </headerFooter>
  <rowBreaks count="1" manualBreakCount="1">
    <brk id="140" man="1"/>
  </rowBrea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37.56"/>
    <col customWidth="1" min="3" max="10" width="10.89"/>
    <col customWidth="1" min="11" max="11" width="19.44"/>
    <col customWidth="1" min="12" max="12" width="10.89"/>
    <col customWidth="1" min="13" max="13" width="38.11"/>
    <col customWidth="1" min="14" max="14" width="10.89"/>
    <col customWidth="1" min="15" max="15" width="49.44"/>
    <col customWidth="1" min="16" max="16" width="10.89"/>
    <col customWidth="1" min="17" max="17" width="43.56"/>
    <col customWidth="1" min="18" max="18" width="10.89"/>
    <col customWidth="1" min="19" max="19" width="33.0"/>
    <col customWidth="1" min="20" max="20" width="10.89"/>
    <col customWidth="1" min="21" max="21" width="27.11"/>
    <col customWidth="1" min="22" max="22" width="10.89"/>
    <col customWidth="1" min="23" max="23" width="30.0"/>
    <col customWidth="1" min="24" max="24" width="10.89"/>
    <col customWidth="1" min="25" max="25" width="31.0"/>
    <col customWidth="1" min="26" max="26" width="31.44"/>
    <col customWidth="1" min="27" max="27" width="10.89"/>
    <col customWidth="1" min="28" max="28" width="23.44"/>
    <col customWidth="1" min="29" max="29" width="38.44"/>
    <col customWidth="1" min="30" max="30" width="10.89"/>
    <col customWidth="1" min="31" max="31" width="29.56"/>
    <col customWidth="1" min="32" max="34" width="10.89"/>
    <col customWidth="1" min="35" max="35" width="56.44"/>
    <col customWidth="1" min="36" max="36" width="10.89"/>
    <col customWidth="1" min="37" max="37" width="31.44"/>
    <col customWidth="1" min="38" max="38" width="10.89"/>
    <col customWidth="1" min="39" max="39" width="31.44"/>
    <col customWidth="1" min="40" max="40" width="10.89"/>
    <col customWidth="1" min="41" max="41" width="43.44"/>
    <col customWidth="1" min="42" max="42" width="10.89"/>
    <col customWidth="1" min="43" max="43" width="58.56"/>
    <col customWidth="1" min="44" max="44" width="13.11"/>
    <col customWidth="1" min="45" max="45" width="27.44"/>
    <col customWidth="1" min="46" max="46" width="14.89"/>
    <col customWidth="1" min="47" max="47" width="20.44"/>
  </cols>
  <sheetData>
    <row r="1">
      <c r="A1" s="3" t="s">
        <v>1110</v>
      </c>
      <c r="B1" s="3"/>
      <c r="C1" s="3"/>
      <c r="D1" s="3"/>
      <c r="E1" s="3" t="s">
        <v>1111</v>
      </c>
      <c r="F1" s="3"/>
      <c r="G1" s="3"/>
      <c r="H1" s="3" t="s">
        <v>1112</v>
      </c>
      <c r="I1" s="3"/>
      <c r="J1" s="3" t="s">
        <v>1113</v>
      </c>
      <c r="K1" s="3"/>
      <c r="L1" s="3" t="s">
        <v>1114</v>
      </c>
      <c r="M1" s="3"/>
      <c r="N1" s="3"/>
      <c r="O1" s="3" t="s">
        <v>1115</v>
      </c>
      <c r="P1" s="3"/>
      <c r="Q1" s="3"/>
      <c r="R1" s="3"/>
      <c r="S1" s="3" t="s">
        <v>1116</v>
      </c>
      <c r="T1" s="3"/>
      <c r="U1" s="3"/>
      <c r="V1" s="3"/>
      <c r="W1" s="3" t="s">
        <v>1117</v>
      </c>
      <c r="X1" s="3"/>
      <c r="Y1" s="3"/>
      <c r="Z1" s="3" t="s">
        <v>1118</v>
      </c>
      <c r="AA1" s="3"/>
      <c r="AB1" s="3"/>
      <c r="AC1" s="3" t="s">
        <v>1119</v>
      </c>
      <c r="AD1" s="3"/>
      <c r="AE1" s="3"/>
      <c r="AF1" s="3" t="s">
        <v>1120</v>
      </c>
      <c r="AG1" s="3"/>
      <c r="AH1" s="3" t="s">
        <v>1121</v>
      </c>
      <c r="AI1" s="3"/>
      <c r="AJ1" s="3" t="s">
        <v>1122</v>
      </c>
      <c r="AK1" s="3"/>
      <c r="AL1" s="3" t="s">
        <v>1123</v>
      </c>
      <c r="AM1" s="3"/>
      <c r="AN1" s="3" t="s">
        <v>1124</v>
      </c>
      <c r="AO1" s="3"/>
      <c r="AP1" s="3" t="s">
        <v>1125</v>
      </c>
      <c r="AQ1" s="3"/>
      <c r="AR1" s="3" t="s">
        <v>1126</v>
      </c>
      <c r="AS1" s="3"/>
      <c r="AT1" s="3" t="s">
        <v>1127</v>
      </c>
      <c r="AU1" s="3"/>
    </row>
    <row r="2">
      <c r="A2" s="194" t="b">
        <v>0</v>
      </c>
      <c r="B2" s="338" t="str">
        <f>IF(A2= TRUE, "Certificate|", "")</f>
        <v/>
      </c>
      <c r="C2" s="40"/>
      <c r="D2" s="40"/>
      <c r="E2" s="49" t="b">
        <v>1</v>
      </c>
      <c r="F2" s="49" t="str">
        <f>IF(E2= TRUE, "SAT|", "")</f>
        <v>SAT|</v>
      </c>
      <c r="G2" s="40"/>
      <c r="H2" s="49" t="b">
        <v>1</v>
      </c>
      <c r="I2" s="49" t="str">
        <f>IF(H2= TRUE, "Fall|", "")</f>
        <v>Fall|</v>
      </c>
      <c r="J2" s="49" t="b">
        <v>0</v>
      </c>
      <c r="K2" s="49" t="str">
        <f t="shared" ref="K2:K5" si="1">IF(J2= TRUE, "Rolling Admission", "")</f>
        <v/>
      </c>
      <c r="L2" s="339" t="b">
        <v>0</v>
      </c>
      <c r="M2" s="49" t="str">
        <f>IF(L2= TRUE, "American Council on Education (ACE)|", "")</f>
        <v/>
      </c>
      <c r="N2" s="40"/>
      <c r="O2" s="52" t="s">
        <v>1128</v>
      </c>
      <c r="P2" s="49" t="b">
        <v>1</v>
      </c>
      <c r="Q2" s="49" t="str">
        <f>IF(P2= TRUE, "Accelerated program|", "")</f>
        <v>Accelerated program|</v>
      </c>
      <c r="R2" s="40"/>
      <c r="S2" s="52" t="s">
        <v>1129</v>
      </c>
      <c r="T2" s="49" t="b">
        <v>1</v>
      </c>
      <c r="U2" s="49" t="str">
        <f>IF(T2= TRUE, "Arts/fine arts|", "")</f>
        <v>Arts/fine arts|</v>
      </c>
      <c r="V2" s="40"/>
      <c r="W2" s="4" t="s">
        <v>597</v>
      </c>
      <c r="X2" s="4" t="b">
        <v>1</v>
      </c>
      <c r="Y2" s="4" t="str">
        <f>IF(X2= TRUE, "Campus Ministries|", "")</f>
        <v>Campus Ministries|</v>
      </c>
      <c r="Z2" s="4" t="s">
        <v>1130</v>
      </c>
      <c r="AA2" s="4" t="b">
        <v>1</v>
      </c>
      <c r="AB2" s="4" t="str">
        <f>IF(AA2= TRUE, "On Campus|", "")</f>
        <v>On Campus|</v>
      </c>
      <c r="AC2" s="4" t="s">
        <v>618</v>
      </c>
      <c r="AD2" s="4" t="b">
        <v>0</v>
      </c>
      <c r="AE2" s="4" t="str">
        <f>IF(AD2= TRUE, "Apartments for married students|", "")</f>
        <v/>
      </c>
      <c r="AF2" s="40" t="b">
        <v>1</v>
      </c>
      <c r="AG2" s="40" t="str">
        <f>IF(AF2, "2023-2024 academic costs not currently available", "")</f>
        <v>2023-2024 academic costs not currently available</v>
      </c>
      <c r="AH2" s="40" t="b">
        <v>1</v>
      </c>
      <c r="AI2" s="40" t="str">
        <f>IF(AH2= TRUE, "Institutional need-based grant or scholarship aid is available.|", "")</f>
        <v>Institutional need-based grant or scholarship aid is available.|</v>
      </c>
      <c r="AJ2" s="194" t="b">
        <v>0</v>
      </c>
      <c r="AK2" s="40" t="str">
        <f>IF(AJ2= TRUE, "Institution's own financial aid form|", "")</f>
        <v/>
      </c>
      <c r="AL2" s="40" t="b">
        <v>0</v>
      </c>
      <c r="AM2" s="40" t="str">
        <f>IF(AL2= TRUE, "FAFSA|", "")</f>
        <v/>
      </c>
      <c r="AN2" s="194" t="b">
        <v>0</v>
      </c>
      <c r="AO2" s="40" t="str">
        <f>IF(AN2= TRUE, "Direct Subsidized Stafford Loans | ", "")</f>
        <v/>
      </c>
      <c r="AP2" s="194" t="b">
        <v>0</v>
      </c>
      <c r="AQ2" s="40" t="str">
        <f>IF(AP2= TRUE, "Federal Pell| ", "")</f>
        <v/>
      </c>
      <c r="AR2" s="194" t="b">
        <v>0</v>
      </c>
      <c r="AS2" s="40" t="str">
        <f>IF(AR2= TRUE, "Academics| ", "")</f>
        <v/>
      </c>
      <c r="AT2" s="40" t="b">
        <v>0</v>
      </c>
      <c r="AU2" s="40" t="str">
        <f>IF(AT2= TRUE, "Academics| ", "")</f>
        <v/>
      </c>
    </row>
    <row r="3">
      <c r="A3" s="194" t="b">
        <v>0</v>
      </c>
      <c r="B3" s="338" t="str">
        <f>IF(A3= TRUE, "Diploma|", "")</f>
        <v/>
      </c>
      <c r="C3" s="40"/>
      <c r="D3" s="40"/>
      <c r="E3" s="49" t="b">
        <v>1</v>
      </c>
      <c r="F3" s="49" t="str">
        <f>IF(E3= TRUE, "ACT|", "")</f>
        <v>ACT|</v>
      </c>
      <c r="G3" s="40"/>
      <c r="H3" s="49" t="b">
        <v>0</v>
      </c>
      <c r="I3" s="49" t="str">
        <f>IF(H3= TRUE, "Winter|", "")</f>
        <v/>
      </c>
      <c r="J3" s="49" t="b">
        <v>0</v>
      </c>
      <c r="K3" s="49" t="str">
        <f t="shared" si="1"/>
        <v/>
      </c>
      <c r="L3" s="339" t="b">
        <v>0</v>
      </c>
      <c r="M3" s="49" t="str">
        <f>IF(L3= TRUE, "College Level Examination Program (CLEP)|", "")</f>
        <v/>
      </c>
      <c r="N3" s="40"/>
      <c r="O3" s="52" t="s">
        <v>548</v>
      </c>
      <c r="P3" s="49" t="b">
        <v>1</v>
      </c>
      <c r="Q3" s="52" t="str">
        <f>IF(P3= TRUE, "Comprehensive transition and postsecondary program for students with intellectual disabilities|", "")</f>
        <v>Comprehensive transition and postsecondary program for students with intellectual disabilities|</v>
      </c>
      <c r="R3" s="40"/>
      <c r="S3" s="52" t="s">
        <v>570</v>
      </c>
      <c r="T3" s="49" t="b">
        <v>0</v>
      </c>
      <c r="U3" s="49" t="str">
        <f>IF(T3= TRUE, "Computer literacy|", "")</f>
        <v/>
      </c>
      <c r="V3" s="40"/>
      <c r="W3" s="4" t="s">
        <v>598</v>
      </c>
      <c r="X3" s="4" t="b">
        <v>1</v>
      </c>
      <c r="Y3" s="4" t="str">
        <f>IF(X3= TRUE, "Choral groups|", "")</f>
        <v>Choral groups|</v>
      </c>
      <c r="Z3" s="4" t="s">
        <v>1131</v>
      </c>
      <c r="AA3" s="4" t="b">
        <v>0</v>
      </c>
      <c r="AB3" s="4" t="str">
        <f>IF(AA3= TRUE, "At cooperating institution|", "")</f>
        <v/>
      </c>
      <c r="AC3" s="4" t="s">
        <v>619</v>
      </c>
      <c r="AD3" s="4" t="b">
        <v>0</v>
      </c>
      <c r="AE3" s="4" t="str">
        <f>IF(AD3= TRUE, "Apartments for single students|", "")</f>
        <v/>
      </c>
      <c r="AF3" s="40"/>
      <c r="AG3" s="40"/>
      <c r="AH3" s="40" t="b">
        <v>1</v>
      </c>
      <c r="AI3" s="40" t="str">
        <f>IF(AH3= TRUE, "Institutional non-need-based grant or scholarship aid is available.|", "")</f>
        <v>Institutional non-need-based grant or scholarship aid is available.|</v>
      </c>
      <c r="AJ3" s="194" t="b">
        <v>0</v>
      </c>
      <c r="AK3" s="40" t="str">
        <f>IF(AJ3= TRUE, "CSS Profile|", "")</f>
        <v/>
      </c>
      <c r="AL3" s="40" t="b">
        <v>0</v>
      </c>
      <c r="AM3" s="40" t="str">
        <f>IF(AL3= TRUE, "Institution's own financial aid form|", "")</f>
        <v/>
      </c>
      <c r="AN3" s="194" t="b">
        <v>0</v>
      </c>
      <c r="AO3" s="40" t="str">
        <f>IF(AN3= TRUE, "Direct Unsubsidized Stafford Loans | ", "")</f>
        <v/>
      </c>
      <c r="AP3" s="194" t="b">
        <v>0</v>
      </c>
      <c r="AQ3" s="40" t="str">
        <f>IF(AP3= TRUE, "SEOG| ", "")</f>
        <v/>
      </c>
      <c r="AR3" s="194" t="b">
        <v>0</v>
      </c>
      <c r="AS3" s="40" t="str">
        <f>IF(AR3= TRUE, "Alumni Affiliation| ", "")</f>
        <v/>
      </c>
      <c r="AT3" s="40" t="b">
        <v>0</v>
      </c>
      <c r="AU3" s="40" t="str">
        <f>IF(AT3= TRUE, "Alumni Affiliation| ", "")</f>
        <v/>
      </c>
    </row>
    <row r="4">
      <c r="A4" s="194" t="b">
        <v>0</v>
      </c>
      <c r="B4" s="338" t="str">
        <f t="array" ref="B4">IFS(A4= TRUE, "Associate|",A4=FALSE, "")</f>
        <v/>
      </c>
      <c r="C4" s="40"/>
      <c r="D4" s="40"/>
      <c r="E4" s="49" t="b">
        <v>1</v>
      </c>
      <c r="F4" s="49" t="str">
        <f>IF(E4= TRUE, "AP|", "")</f>
        <v>AP|</v>
      </c>
      <c r="G4" s="40"/>
      <c r="H4" s="49" t="b">
        <v>1</v>
      </c>
      <c r="I4" s="49" t="str">
        <f>IF(H4= TRUE, "Spring|", "")</f>
        <v>Spring|</v>
      </c>
      <c r="J4" s="49" t="b">
        <v>0</v>
      </c>
      <c r="K4" s="49" t="str">
        <f t="shared" si="1"/>
        <v/>
      </c>
      <c r="L4" s="339" t="b">
        <v>0</v>
      </c>
      <c r="M4" s="49" t="str">
        <f>IF(L4= TRUE, "DANTES Subject Standardized Tests (DSST)|", "")</f>
        <v/>
      </c>
      <c r="N4" s="40"/>
      <c r="O4" s="52" t="s">
        <v>550</v>
      </c>
      <c r="P4" s="49" t="b">
        <v>1</v>
      </c>
      <c r="Q4" s="49" t="str">
        <f>IF(P4= TRUE, "Cross-registration|", "")</f>
        <v>Cross-registration|</v>
      </c>
      <c r="R4" s="40"/>
      <c r="S4" s="52" t="s">
        <v>571</v>
      </c>
      <c r="T4" s="49" t="b">
        <v>1</v>
      </c>
      <c r="U4" s="49" t="str">
        <f>IF(T4= TRUE, "English (including composition)|", "")</f>
        <v>English (including composition)|</v>
      </c>
      <c r="V4" s="40"/>
      <c r="W4" s="4" t="s">
        <v>599</v>
      </c>
      <c r="X4" s="4" t="b">
        <v>1</v>
      </c>
      <c r="Y4" s="4" t="str">
        <f>IF(X4= TRUE, "Concert band|", "")</f>
        <v>Concert band|</v>
      </c>
      <c r="AC4" s="4" t="s">
        <v>620</v>
      </c>
      <c r="AD4" s="4" t="b">
        <v>0</v>
      </c>
      <c r="AE4" s="4" t="str">
        <f>IF(AD4= TRUE, "Coed residence halls|", "")</f>
        <v/>
      </c>
      <c r="AF4" s="40"/>
      <c r="AG4" s="40"/>
      <c r="AH4" s="40" t="b">
        <v>1</v>
      </c>
      <c r="AI4" s="40" t="str">
        <f>IF(AH4= TRUE, "Institutional grant and scholarship aid is not available.|", "")</f>
        <v>Institutional grant and scholarship aid is not available.|</v>
      </c>
      <c r="AJ4" s="194" t="b">
        <v>0</v>
      </c>
      <c r="AK4" s="40" t="str">
        <f>IF(AJ4= TRUE, "Other|", "")</f>
        <v/>
      </c>
      <c r="AL4" s="40" t="b">
        <v>0</v>
      </c>
      <c r="AM4" s="40" t="str">
        <f>IF(AL4= TRUE, "CSS Profile|", "")</f>
        <v/>
      </c>
      <c r="AN4" s="194" t="b">
        <v>0</v>
      </c>
      <c r="AO4" s="40" t="str">
        <f>IF(AN4= TRUE, "Direct PLUS Loans | ", "")</f>
        <v/>
      </c>
      <c r="AP4" s="194" t="b">
        <v>0</v>
      </c>
      <c r="AQ4" s="40" t="str">
        <f>IF(AP4= TRUE, "State scholarships/grants| ", "")</f>
        <v/>
      </c>
      <c r="AR4" s="194" t="b">
        <v>0</v>
      </c>
      <c r="AS4" s="40" t="str">
        <f>IF(AR4= TRUE, "Art| ", "")</f>
        <v/>
      </c>
      <c r="AT4" s="40" t="b">
        <v>0</v>
      </c>
      <c r="AU4" s="40" t="str">
        <f>IF(AT4= TRUE, "Art| ", "")</f>
        <v/>
      </c>
    </row>
    <row r="5">
      <c r="A5" s="194" t="b">
        <v>0</v>
      </c>
      <c r="B5" s="338" t="str">
        <f t="array" ref="B5">IFS(A5=TRUE, "Transfer|",A5=FALSE, "")</f>
        <v/>
      </c>
      <c r="C5" s="40"/>
      <c r="D5" s="40"/>
      <c r="E5" s="49" t="b">
        <v>0</v>
      </c>
      <c r="F5" s="49" t="str">
        <f>IF(E5= TRUE, "CLEP|", "")</f>
        <v/>
      </c>
      <c r="G5" s="40"/>
      <c r="H5" s="49" t="b">
        <v>0</v>
      </c>
      <c r="I5" s="49" t="str">
        <f>IF(H5= TRUE, "Summer|", "")</f>
        <v/>
      </c>
      <c r="J5" s="49" t="b">
        <v>0</v>
      </c>
      <c r="K5" s="49" t="str">
        <f t="shared" si="1"/>
        <v/>
      </c>
      <c r="L5" s="40"/>
      <c r="M5" s="40"/>
      <c r="N5" s="40"/>
      <c r="O5" s="52" t="s">
        <v>552</v>
      </c>
      <c r="P5" s="49" t="b">
        <v>1</v>
      </c>
      <c r="Q5" s="49" t="str">
        <f>IF(P5= TRUE, "Distance learning|", "")</f>
        <v>Distance learning|</v>
      </c>
      <c r="R5" s="40"/>
      <c r="S5" s="52" t="s">
        <v>573</v>
      </c>
      <c r="T5" s="49" t="b">
        <v>0</v>
      </c>
      <c r="U5" s="49" t="str">
        <f>IF(T5= TRUE, "Foreign languages|", "")</f>
        <v/>
      </c>
      <c r="V5" s="40"/>
      <c r="W5" s="4" t="s">
        <v>600</v>
      </c>
      <c r="X5" s="4" t="b">
        <v>1</v>
      </c>
      <c r="Y5" s="4" t="str">
        <f>IF(X5= TRUE, "Dance|", "")</f>
        <v>Dance|</v>
      </c>
      <c r="Z5" s="4" t="s">
        <v>1132</v>
      </c>
      <c r="AA5" s="4" t="b">
        <v>1</v>
      </c>
      <c r="AB5" s="4" t="str">
        <f>IF(AA5= TRUE, "Marine Option|", "")</f>
        <v>Marine Option|</v>
      </c>
      <c r="AC5" s="4" t="s">
        <v>621</v>
      </c>
      <c r="AD5" s="4" t="b">
        <v>0</v>
      </c>
      <c r="AE5" s="4" t="str">
        <f>IF(AD5= TRUE, "Cooperative housing|", "")</f>
        <v/>
      </c>
      <c r="AF5" s="40"/>
      <c r="AG5" s="40"/>
      <c r="AH5" s="40"/>
      <c r="AI5" s="40"/>
      <c r="AJ5" s="40"/>
      <c r="AK5" s="40"/>
      <c r="AL5" s="40" t="b">
        <v>0</v>
      </c>
      <c r="AM5" s="40" t="str">
        <f>IF(AL5= TRUE, "State aid form|", "")</f>
        <v/>
      </c>
      <c r="AN5" s="194" t="b">
        <v>0</v>
      </c>
      <c r="AO5" s="40" t="str">
        <f>IF(AN5= TRUE, "Federal Perkins Loans | ", "")</f>
        <v/>
      </c>
      <c r="AP5" s="194" t="b">
        <v>0</v>
      </c>
      <c r="AQ5" s="40" t="str">
        <f>IF(AP5= TRUE, "Private Scholarships| ", "")</f>
        <v/>
      </c>
      <c r="AR5" s="194" t="b">
        <v>0</v>
      </c>
      <c r="AS5" s="40" t="str">
        <f>IF(AR5= TRUE, "Athletics| ", "")</f>
        <v/>
      </c>
      <c r="AT5" s="40" t="b">
        <v>0</v>
      </c>
      <c r="AU5" s="40" t="str">
        <f>IF(AT5= TRUE, "Athletics| ", "")</f>
        <v/>
      </c>
    </row>
    <row r="6">
      <c r="A6" s="194" t="b">
        <v>0</v>
      </c>
      <c r="B6" s="338" t="str">
        <f t="array" ref="B6">IFS(A6=TRUE, "Terminal|",A6=FALSE, "")</f>
        <v/>
      </c>
      <c r="C6" s="40"/>
      <c r="D6" s="40"/>
      <c r="E6" s="49" t="b">
        <v>1</v>
      </c>
      <c r="F6" s="49" t="str">
        <f>IF(E6= TRUE, "Institutional Exam|", "")</f>
        <v>Institutional Exam|</v>
      </c>
      <c r="G6" s="40"/>
      <c r="H6" s="40"/>
      <c r="I6" s="40"/>
      <c r="J6" s="40"/>
      <c r="K6" s="40"/>
      <c r="L6" s="40"/>
      <c r="M6" s="40"/>
      <c r="N6" s="40"/>
      <c r="O6" s="52" t="s">
        <v>554</v>
      </c>
      <c r="P6" s="49" t="b">
        <v>1</v>
      </c>
      <c r="Q6" s="49" t="str">
        <f>IF(P6= TRUE, "Double major|", "")</f>
        <v>Double major|</v>
      </c>
      <c r="R6" s="40"/>
      <c r="S6" s="52" t="s">
        <v>244</v>
      </c>
      <c r="T6" s="49" t="b">
        <v>1</v>
      </c>
      <c r="U6" s="49" t="str">
        <f>IF(T6= TRUE, "History|", "")</f>
        <v>History|</v>
      </c>
      <c r="V6" s="40"/>
      <c r="W6" s="4" t="s">
        <v>601</v>
      </c>
      <c r="X6" s="4" t="b">
        <v>1</v>
      </c>
      <c r="Y6" s="4" t="str">
        <f>IF(X6= TRUE, "Drama/theater|", "")</f>
        <v>Drama/theater|</v>
      </c>
      <c r="Z6" s="4" t="s">
        <v>1133</v>
      </c>
      <c r="AA6" s="4" t="b">
        <v>1</v>
      </c>
      <c r="AB6" s="4" t="str">
        <f>IF(AA6= TRUE, "On Campus|", "")</f>
        <v>On Campus|</v>
      </c>
      <c r="AC6" s="4" t="s">
        <v>622</v>
      </c>
      <c r="AD6" s="4" t="b">
        <v>0</v>
      </c>
      <c r="AE6" s="4" t="str">
        <f>IF(AD6= TRUE, "Fraternity/sorority housing|", "")</f>
        <v/>
      </c>
      <c r="AF6" s="40"/>
      <c r="AG6" s="40"/>
      <c r="AH6" s="40"/>
      <c r="AI6" s="40"/>
      <c r="AJ6" s="40"/>
      <c r="AK6" s="40"/>
      <c r="AL6" s="40" t="b">
        <v>0</v>
      </c>
      <c r="AM6" s="40" t="str">
        <f>IF(AL6= TRUE, "Business/Farm Supplement|", "")</f>
        <v/>
      </c>
      <c r="AN6" s="194" t="b">
        <v>0</v>
      </c>
      <c r="AO6" s="40" t="str">
        <f>IF(AN6= TRUE, "Federal Nursing Loans | ", "")</f>
        <v/>
      </c>
      <c r="AP6" s="194" t="b">
        <v>0</v>
      </c>
      <c r="AQ6" s="40" t="str">
        <f>IF(AP6= TRUE, "College/university scholarship or grant aid from institutional funds| ", "")</f>
        <v/>
      </c>
      <c r="AR6" s="194" t="b">
        <v>0</v>
      </c>
      <c r="AS6" s="40" t="str">
        <f>IF(AR6= TRUE, "Job Skills| ", "")</f>
        <v/>
      </c>
      <c r="AT6" s="40" t="b">
        <v>0</v>
      </c>
      <c r="AU6" s="40" t="str">
        <f>IF(AT6= TRUE, "Job Skills| ", "")</f>
        <v/>
      </c>
    </row>
    <row r="7">
      <c r="A7" s="194" t="b">
        <v>1</v>
      </c>
      <c r="B7" s="338" t="str">
        <f t="array" ref="B7">IFS(A7=TRUE, "Bachelor's|",A7=FALSE, "")</f>
        <v>Bachelor's|</v>
      </c>
      <c r="C7" s="40"/>
      <c r="D7" s="40"/>
      <c r="E7" s="49" t="b">
        <v>0</v>
      </c>
      <c r="F7" s="49" t="str">
        <f>IF(E7= TRUE, "State Exam|", "")</f>
        <v/>
      </c>
      <c r="G7" s="40"/>
      <c r="H7" s="40"/>
      <c r="I7" s="40"/>
      <c r="J7" s="40"/>
      <c r="K7" s="40"/>
      <c r="L7" s="40"/>
      <c r="M7" s="40"/>
      <c r="N7" s="40"/>
      <c r="O7" s="52" t="s">
        <v>556</v>
      </c>
      <c r="P7" s="49" t="b">
        <v>1</v>
      </c>
      <c r="Q7" s="49" t="str">
        <f>IF(P7= TRUE, "Dual enrollment|", "")</f>
        <v>Dual enrollment|</v>
      </c>
      <c r="R7" s="40"/>
      <c r="S7" s="52" t="s">
        <v>576</v>
      </c>
      <c r="T7" s="49" t="b">
        <v>1</v>
      </c>
      <c r="U7" s="49" t="str">
        <f>IF(T7= TRUE, "Humanities|", "")</f>
        <v>Humanities|</v>
      </c>
      <c r="V7" s="40"/>
      <c r="W7" s="4" t="s">
        <v>1134</v>
      </c>
      <c r="X7" s="4" t="b">
        <v>1</v>
      </c>
      <c r="Y7" s="4" t="str">
        <f>IF(X7= TRUE, "International Student Organization|", "")</f>
        <v>International Student Organization|</v>
      </c>
      <c r="Z7" s="4" t="s">
        <v>1135</v>
      </c>
      <c r="AA7" s="4" t="b">
        <v>0</v>
      </c>
      <c r="AB7" s="4" t="str">
        <f>IF(AA7= TRUE, "At cooperating institution|", "")</f>
        <v/>
      </c>
      <c r="AC7" s="4" t="s">
        <v>623</v>
      </c>
      <c r="AD7" s="4" t="b">
        <v>0</v>
      </c>
      <c r="AE7" s="4" t="str">
        <f>IF(AD7= TRUE, "Living Learning Communities|", "")</f>
        <v/>
      </c>
      <c r="AF7" s="40"/>
      <c r="AG7" s="40"/>
      <c r="AH7" s="40"/>
      <c r="AI7" s="40"/>
      <c r="AJ7" s="40"/>
      <c r="AK7" s="40"/>
      <c r="AL7" s="40" t="b">
        <v>0</v>
      </c>
      <c r="AM7" s="40" t="str">
        <f>IF(AL7= TRUE, "Other", "")</f>
        <v/>
      </c>
      <c r="AN7" s="194" t="b">
        <v>0</v>
      </c>
      <c r="AO7" s="40" t="str">
        <f>IF(AN7= TRUE, "State Loans | ", "")</f>
        <v/>
      </c>
      <c r="AP7" s="194" t="b">
        <v>0</v>
      </c>
      <c r="AQ7" s="40" t="str">
        <f>IF(AP7= TRUE, "United Negro College Fund| ", "")</f>
        <v/>
      </c>
      <c r="AR7" s="194" t="b">
        <v>0</v>
      </c>
      <c r="AS7" s="40" t="str">
        <f>IF(AR7= TRUE, "ROTC| ", "")</f>
        <v/>
      </c>
      <c r="AT7" s="40" t="b">
        <v>0</v>
      </c>
      <c r="AU7" s="40" t="str">
        <f>IF(AT7= TRUE, "ROTC| ", "")</f>
        <v/>
      </c>
    </row>
    <row r="8">
      <c r="A8" s="194" t="b">
        <v>1</v>
      </c>
      <c r="B8" s="338" t="str">
        <f t="array" ref="B8">IFS(A8=TRUE,"Postbachelor's certificate|", A8=FALSE, "")</f>
        <v>Postbachelor's certificate|</v>
      </c>
      <c r="C8" s="40"/>
      <c r="D8" s="40"/>
      <c r="E8" s="40"/>
      <c r="F8" s="40"/>
      <c r="G8" s="40"/>
      <c r="H8" s="40"/>
      <c r="I8" s="40"/>
      <c r="J8" s="40"/>
      <c r="K8" s="40"/>
      <c r="L8" s="40"/>
      <c r="M8" s="40"/>
      <c r="N8" s="40"/>
      <c r="O8" s="52" t="s">
        <v>558</v>
      </c>
      <c r="P8" s="49" t="b">
        <v>1</v>
      </c>
      <c r="Q8" s="49" t="str">
        <f>IF(P8= TRUE, "English as a Second Language (ESL)|", "")</f>
        <v>English as a Second Language (ESL)|</v>
      </c>
      <c r="R8" s="40"/>
      <c r="S8" s="52" t="s">
        <v>1136</v>
      </c>
      <c r="T8" s="49" t="b">
        <v>0</v>
      </c>
      <c r="U8" s="49" t="str">
        <f>IF(T8= TRUE, "Intensive writing|", "")</f>
        <v/>
      </c>
      <c r="V8" s="40"/>
      <c r="W8" s="4" t="s">
        <v>603</v>
      </c>
      <c r="X8" s="4" t="b">
        <v>1</v>
      </c>
      <c r="Y8" s="4" t="str">
        <f>IF(X8= TRUE, "Jazz band|", "")</f>
        <v>Jazz band|</v>
      </c>
      <c r="AC8" s="4" t="s">
        <v>630</v>
      </c>
      <c r="AD8" s="4" t="b">
        <v>0</v>
      </c>
      <c r="AE8" s="4" t="str">
        <f>IF(AD8= TRUE, "Other Housing Options|", "")</f>
        <v/>
      </c>
      <c r="AF8" s="40"/>
      <c r="AG8" s="40"/>
      <c r="AH8" s="40"/>
      <c r="AI8" s="40"/>
      <c r="AJ8" s="40"/>
      <c r="AK8" s="40"/>
      <c r="AL8" s="40"/>
      <c r="AM8" s="40"/>
      <c r="AN8" s="194" t="b">
        <v>0</v>
      </c>
      <c r="AO8" s="40" t="str">
        <f>IF(AN8= TRUE, "College/university loans from institutional funds | ", "")</f>
        <v/>
      </c>
      <c r="AP8" s="194" t="b">
        <v>0</v>
      </c>
      <c r="AQ8" s="40" t="str">
        <f>IF(AP8= TRUE, "Federal Nursing Scholarship| ", "")</f>
        <v/>
      </c>
      <c r="AR8" s="194" t="b">
        <v>0</v>
      </c>
      <c r="AS8" s="40" t="str">
        <f>IF(AR8= TRUE, "Leadership| ", "")</f>
        <v/>
      </c>
      <c r="AT8" s="40" t="b">
        <v>0</v>
      </c>
      <c r="AU8" s="40" t="str">
        <f>IF(AT8= TRUE, "Leadership| ", "")</f>
        <v/>
      </c>
    </row>
    <row r="9">
      <c r="A9" s="194" t="b">
        <v>1</v>
      </c>
      <c r="B9" s="338" t="str">
        <f t="array" ref="B9">IFS(A9= TRUE, "Master's|",A9=FALSE, "")</f>
        <v>Master's|</v>
      </c>
      <c r="C9" s="40"/>
      <c r="D9" s="40"/>
      <c r="E9" s="40"/>
      <c r="F9" s="40"/>
      <c r="G9" s="40"/>
      <c r="H9" s="40"/>
      <c r="I9" s="40"/>
      <c r="J9" s="40"/>
      <c r="K9" s="40"/>
      <c r="L9" s="40"/>
      <c r="M9" s="40"/>
      <c r="N9" s="40"/>
      <c r="O9" s="52" t="s">
        <v>1137</v>
      </c>
      <c r="P9" s="49" t="b">
        <v>1</v>
      </c>
      <c r="Q9" s="49" t="str">
        <f>IF(P9= TRUE, "Exchange student program (domestic) |", "")</f>
        <v>Exchange student program (domestic) |</v>
      </c>
      <c r="R9" s="40"/>
      <c r="S9" s="52" t="s">
        <v>239</v>
      </c>
      <c r="T9" s="49" t="b">
        <v>1</v>
      </c>
      <c r="U9" s="49" t="str">
        <f>IF(T9= TRUE, "Mathematics|", "")</f>
        <v>Mathematics|</v>
      </c>
      <c r="V9" s="40"/>
      <c r="W9" s="4" t="s">
        <v>604</v>
      </c>
      <c r="X9" s="4" t="b">
        <v>1</v>
      </c>
      <c r="Y9" s="4" t="str">
        <f>IF(X9= TRUE, "Literary magazine|", "")</f>
        <v>Literary magazine|</v>
      </c>
      <c r="Z9" s="4" t="s">
        <v>1138</v>
      </c>
      <c r="AA9" s="4" t="b">
        <v>1</v>
      </c>
      <c r="AB9" s="4" t="str">
        <f>IF(AA9= TRUE, "On Campus|", "")</f>
        <v>On Campus|</v>
      </c>
      <c r="AC9" s="4" t="s">
        <v>624</v>
      </c>
      <c r="AD9" s="4" t="b">
        <v>0</v>
      </c>
      <c r="AE9" s="4" t="str">
        <f>IF(AD9= TRUE, "Men's residence halls|", "")</f>
        <v/>
      </c>
      <c r="AF9" s="40"/>
      <c r="AG9" s="40"/>
      <c r="AH9" s="40"/>
      <c r="AI9" s="40"/>
      <c r="AJ9" s="40"/>
      <c r="AK9" s="40"/>
      <c r="AL9" s="40"/>
      <c r="AM9" s="40"/>
      <c r="AN9" s="194" t="b">
        <v>0</v>
      </c>
      <c r="AO9" s="40" t="str">
        <f>IF(AN9= TRUE, "Other |", "")</f>
        <v/>
      </c>
      <c r="AP9" s="194" t="b">
        <v>0</v>
      </c>
      <c r="AQ9" s="40" t="str">
        <f>IF(AP9= TRUE, "Other", "")</f>
        <v/>
      </c>
      <c r="AR9" s="194" t="b">
        <v>0</v>
      </c>
      <c r="AS9" s="40" t="str">
        <f>IF(AR9= TRUE, "Minority Status| ", "")</f>
        <v/>
      </c>
      <c r="AT9" s="40" t="b">
        <v>0</v>
      </c>
      <c r="AU9" s="40" t="str">
        <f>IF(AT9= TRUE, "Minority Status| ", "")</f>
        <v/>
      </c>
    </row>
    <row r="10">
      <c r="A10" s="194" t="b">
        <v>1</v>
      </c>
      <c r="B10" s="338" t="str">
        <f t="array" ref="B10">IFS(A10=TRUE, "Post-master's certificate|",A10=FALSE, "")</f>
        <v>Post-master's certificate|</v>
      </c>
      <c r="C10" s="40"/>
      <c r="D10" s="40"/>
      <c r="E10" s="40"/>
      <c r="F10" s="40"/>
      <c r="G10" s="40"/>
      <c r="H10" s="40"/>
      <c r="I10" s="40"/>
      <c r="J10" s="40"/>
      <c r="K10" s="40"/>
      <c r="L10" s="40"/>
      <c r="M10" s="40"/>
      <c r="N10" s="40"/>
      <c r="O10" s="52" t="s">
        <v>562</v>
      </c>
      <c r="P10" s="49" t="b">
        <v>0</v>
      </c>
      <c r="Q10" s="49" t="str">
        <f>IF(P10= TRUE, "External degree program|", "")</f>
        <v/>
      </c>
      <c r="R10" s="40"/>
      <c r="S10" s="52" t="s">
        <v>572</v>
      </c>
      <c r="T10" s="49" t="b">
        <v>1</v>
      </c>
      <c r="U10" s="49" t="str">
        <f>IF(T10= TRUE, "Philosophy|", "")</f>
        <v>Philosophy|</v>
      </c>
      <c r="V10" s="40"/>
      <c r="W10" s="4" t="s">
        <v>605</v>
      </c>
      <c r="X10" s="4" t="b">
        <v>1</v>
      </c>
      <c r="Y10" s="4" t="str">
        <f>IF(X10= TRUE, "Marching band|", "")</f>
        <v>Marching band|</v>
      </c>
      <c r="Z10" s="4" t="s">
        <v>1139</v>
      </c>
      <c r="AA10" s="4" t="b">
        <v>0</v>
      </c>
      <c r="AB10" s="4" t="str">
        <f>IF(AA10= TRUE, "At cooperating institution|", "")</f>
        <v/>
      </c>
      <c r="AC10" s="4" t="s">
        <v>626</v>
      </c>
      <c r="AD10" s="4" t="b">
        <v>0</v>
      </c>
      <c r="AE10" s="4" t="str">
        <f>IF(AD10= TRUE, "Special housing for international students|", "")</f>
        <v/>
      </c>
      <c r="AF10" s="40"/>
      <c r="AG10" s="40"/>
      <c r="AH10" s="40"/>
      <c r="AI10" s="40"/>
      <c r="AJ10" s="40"/>
      <c r="AK10" s="40"/>
      <c r="AL10" s="40"/>
      <c r="AM10" s="40"/>
      <c r="AN10" s="40"/>
      <c r="AO10" s="40"/>
      <c r="AP10" s="40"/>
      <c r="AQ10" s="40"/>
      <c r="AR10" s="194" t="b">
        <v>0</v>
      </c>
      <c r="AS10" s="40" t="str">
        <f>IF(AR10= TRUE, "Music/Drama| ", "")</f>
        <v/>
      </c>
      <c r="AT10" s="40" t="b">
        <v>0</v>
      </c>
      <c r="AU10" s="40" t="str">
        <f>IF(AT10= TRUE, "Music/Drama| ", "")</f>
        <v/>
      </c>
    </row>
    <row r="11">
      <c r="A11" s="194" t="b">
        <v>1</v>
      </c>
      <c r="B11" s="338" t="str">
        <f t="array" ref="B11">IFS(A11= TRUE, "Doctoral degree - research/scholarship|",A11=FALSE, "")</f>
        <v>Doctoral degree - research/scholarship|</v>
      </c>
      <c r="C11" s="40"/>
      <c r="D11" s="40"/>
      <c r="E11" s="40"/>
      <c r="F11" s="40"/>
      <c r="G11" s="40"/>
      <c r="H11" s="40"/>
      <c r="I11" s="40"/>
      <c r="J11" s="40"/>
      <c r="K11" s="40"/>
      <c r="L11" s="40"/>
      <c r="M11" s="40"/>
      <c r="N11" s="40"/>
      <c r="O11" s="52" t="s">
        <v>547</v>
      </c>
      <c r="P11" s="49" t="b">
        <v>1</v>
      </c>
      <c r="Q11" s="49" t="str">
        <f>IF(P11= TRUE, "Honors program|", "")</f>
        <v>Honors program|</v>
      </c>
      <c r="R11" s="40"/>
      <c r="S11" s="52" t="s">
        <v>574</v>
      </c>
      <c r="T11" s="49" t="b">
        <v>0</v>
      </c>
      <c r="U11" s="49" t="str">
        <f>IF(T11= TRUE, "Physical Education|", "")</f>
        <v/>
      </c>
      <c r="V11" s="40"/>
      <c r="W11" s="4" t="s">
        <v>606</v>
      </c>
      <c r="X11" s="4" t="b">
        <v>1</v>
      </c>
      <c r="Y11" s="4" t="str">
        <f>IF(X11= TRUE, "Model UN|", "")</f>
        <v>Model UN|</v>
      </c>
      <c r="Z11" s="40"/>
      <c r="AA11" s="40"/>
      <c r="AB11" s="40"/>
      <c r="AC11" s="4" t="s">
        <v>627</v>
      </c>
      <c r="AD11" s="4" t="b">
        <v>0</v>
      </c>
      <c r="AE11" s="4" t="str">
        <f>IF(AD11= TRUE, "Special housing for students with disabilities|", "")</f>
        <v/>
      </c>
      <c r="AF11" s="40"/>
      <c r="AG11" s="40"/>
      <c r="AH11" s="40"/>
      <c r="AI11" s="40"/>
      <c r="AJ11" s="40"/>
      <c r="AK11" s="40"/>
      <c r="AL11" s="40"/>
      <c r="AM11" s="40"/>
      <c r="AN11" s="40"/>
      <c r="AO11" s="40"/>
      <c r="AP11" s="40"/>
      <c r="AQ11" s="40"/>
      <c r="AR11" s="194" t="b">
        <v>0</v>
      </c>
      <c r="AS11" s="40" t="str">
        <f>IF(AR11= TRUE, "Religious Affiliation| ", "")</f>
        <v/>
      </c>
      <c r="AT11" s="40" t="b">
        <v>0</v>
      </c>
      <c r="AU11" s="40" t="str">
        <f>IF(AT11= TRUE, "Religious Affiliation| ", "")</f>
        <v/>
      </c>
    </row>
    <row r="12">
      <c r="A12" s="194" t="b">
        <v>1</v>
      </c>
      <c r="B12" s="338" t="str">
        <f t="array" ref="B12">IFS(A12= TRUE, "Doctoral degree - professional practice|",A12=FALSE, "")</f>
        <v>Doctoral degree - professional practice|</v>
      </c>
      <c r="C12" s="40"/>
      <c r="D12" s="40"/>
      <c r="E12" s="40"/>
      <c r="F12" s="40"/>
      <c r="G12" s="40"/>
      <c r="H12" s="40"/>
      <c r="I12" s="40"/>
      <c r="J12" s="40"/>
      <c r="K12" s="40"/>
      <c r="L12" s="40"/>
      <c r="M12" s="40"/>
      <c r="N12" s="40"/>
      <c r="O12" s="52" t="s">
        <v>549</v>
      </c>
      <c r="P12" s="49" t="b">
        <v>1</v>
      </c>
      <c r="Q12" s="49" t="str">
        <f>IF(P12= TRUE, "Independent study|", "")</f>
        <v>Independent study|</v>
      </c>
      <c r="R12" s="40"/>
      <c r="S12" s="52" t="s">
        <v>1140</v>
      </c>
      <c r="T12" s="49" t="b">
        <v>1</v>
      </c>
      <c r="U12" s="49" t="str">
        <f>IF(T12= TRUE, "Sciences (biological or physical)|", "")</f>
        <v>Sciences (biological or physical)|</v>
      </c>
      <c r="V12" s="40"/>
      <c r="W12" s="4" t="s">
        <v>607</v>
      </c>
      <c r="X12" s="4" t="b">
        <v>1</v>
      </c>
      <c r="Y12" s="4" t="str">
        <f>IF(X12= TRUE, "Music ensembles|", "")</f>
        <v>Music ensembles|</v>
      </c>
      <c r="Z12" s="40"/>
      <c r="AA12" s="40"/>
      <c r="AB12" s="40"/>
      <c r="AC12" s="4" t="s">
        <v>628</v>
      </c>
      <c r="AD12" s="4" t="b">
        <v>0</v>
      </c>
      <c r="AE12" s="4" t="str">
        <f>IF(AD12= TRUE, "Theme housing|", "")</f>
        <v/>
      </c>
      <c r="AF12" s="40"/>
      <c r="AG12" s="40"/>
      <c r="AH12" s="40"/>
      <c r="AI12" s="40"/>
      <c r="AJ12" s="40"/>
      <c r="AK12" s="40"/>
      <c r="AL12" s="40"/>
      <c r="AM12" s="40"/>
      <c r="AN12" s="40"/>
      <c r="AO12" s="40"/>
      <c r="AP12" s="40"/>
      <c r="AQ12" s="40"/>
      <c r="AR12" s="194" t="b">
        <v>0</v>
      </c>
      <c r="AS12" s="40" t="str">
        <f>IF(AR12= TRUE, "State/District residency", "")</f>
        <v/>
      </c>
      <c r="AT12" s="40" t="b">
        <v>0</v>
      </c>
      <c r="AU12" s="40" t="str">
        <f>IF(AT12= TRUE, "State/District residency", "")</f>
        <v/>
      </c>
    </row>
    <row r="13">
      <c r="A13" s="194" t="b">
        <v>0</v>
      </c>
      <c r="B13" s="338" t="str">
        <f t="array" ref="B13">IFS(A13= TRUE, "Doctoral degree - other|",A13=FALSE, "")</f>
        <v/>
      </c>
      <c r="C13" s="40"/>
      <c r="D13" s="40"/>
      <c r="E13" s="40"/>
      <c r="F13" s="40"/>
      <c r="G13" s="40"/>
      <c r="H13" s="40"/>
      <c r="I13" s="40"/>
      <c r="J13" s="40"/>
      <c r="K13" s="40"/>
      <c r="L13" s="40"/>
      <c r="M13" s="40"/>
      <c r="N13" s="40"/>
      <c r="O13" s="52" t="s">
        <v>551</v>
      </c>
      <c r="P13" s="49" t="b">
        <v>1</v>
      </c>
      <c r="Q13" s="49" t="str">
        <f>IF(P13= TRUE, "Internships|", "")</f>
        <v>Internships|</v>
      </c>
      <c r="R13" s="40"/>
      <c r="S13" s="52" t="s">
        <v>577</v>
      </c>
      <c r="T13" s="49" t="b">
        <v>1</v>
      </c>
      <c r="U13" s="49" t="str">
        <f>IF(T13= TRUE, "Social Science|", "")</f>
        <v>Social Science|</v>
      </c>
      <c r="V13" s="40"/>
      <c r="W13" s="4" t="s">
        <v>608</v>
      </c>
      <c r="X13" s="4" t="b">
        <v>0</v>
      </c>
      <c r="Y13" s="4" t="str">
        <f>IF(X13= TRUE, "Opera|", "")</f>
        <v/>
      </c>
      <c r="Z13" s="40"/>
      <c r="AA13" s="40"/>
      <c r="AB13" s="40"/>
      <c r="AC13" s="4" t="s">
        <v>629</v>
      </c>
      <c r="AD13" s="4" t="b">
        <v>0</v>
      </c>
      <c r="AE13" s="4" t="str">
        <f>IF(AD13= TRUE, "Women's residence halls|", "")</f>
        <v/>
      </c>
      <c r="AF13" s="40"/>
      <c r="AG13" s="40"/>
      <c r="AH13" s="40"/>
      <c r="AI13" s="40"/>
      <c r="AJ13" s="40"/>
      <c r="AK13" s="40"/>
      <c r="AL13" s="40"/>
      <c r="AM13" s="40"/>
      <c r="AN13" s="40"/>
      <c r="AO13" s="40"/>
      <c r="AP13" s="40"/>
      <c r="AQ13" s="40"/>
      <c r="AR13" s="40"/>
      <c r="AS13" s="40"/>
      <c r="AT13" s="40"/>
      <c r="AU13" s="40"/>
    </row>
    <row r="14">
      <c r="A14" s="40"/>
      <c r="B14" s="40"/>
      <c r="C14" s="40"/>
      <c r="D14" s="40"/>
      <c r="E14" s="40"/>
      <c r="F14" s="40"/>
      <c r="G14" s="40"/>
      <c r="H14" s="40"/>
      <c r="I14" s="40"/>
      <c r="J14" s="40"/>
      <c r="K14" s="40"/>
      <c r="L14" s="40"/>
      <c r="M14" s="40"/>
      <c r="N14" s="40"/>
      <c r="O14" s="52" t="s">
        <v>553</v>
      </c>
      <c r="P14" s="49" t="b">
        <v>0</v>
      </c>
      <c r="Q14" s="49" t="str">
        <f>IF(P14= TRUE, "Liberal arts/career combination|", "")</f>
        <v/>
      </c>
      <c r="R14" s="40"/>
      <c r="S14" s="52" t="s">
        <v>1141</v>
      </c>
      <c r="T14" s="49" t="b">
        <v>1</v>
      </c>
      <c r="U14" s="49" t="str">
        <f>IF(T14= TRUE, "Other|", "")</f>
        <v>Other|</v>
      </c>
      <c r="V14" s="40"/>
      <c r="W14" s="4" t="s">
        <v>609</v>
      </c>
      <c r="X14" s="4" t="b">
        <v>1</v>
      </c>
      <c r="Y14" s="4" t="str">
        <f>IF(X14= TRUE, "Pep band|", "")</f>
        <v>Pep band|</v>
      </c>
      <c r="Z14" s="40"/>
      <c r="AA14" s="40"/>
      <c r="AB14" s="40"/>
      <c r="AC14" s="40"/>
      <c r="AD14" s="40"/>
      <c r="AE14" s="40"/>
      <c r="AF14" s="40"/>
      <c r="AG14" s="40"/>
      <c r="AH14" s="40"/>
      <c r="AI14" s="40"/>
      <c r="AJ14" s="40"/>
      <c r="AK14" s="40"/>
      <c r="AL14" s="40"/>
      <c r="AM14" s="40"/>
      <c r="AN14" s="40"/>
      <c r="AO14" s="40"/>
      <c r="AP14" s="40"/>
      <c r="AQ14" s="40"/>
      <c r="AR14" s="40"/>
      <c r="AS14" s="40"/>
      <c r="AT14" s="40"/>
      <c r="AU14" s="40"/>
    </row>
    <row r="15">
      <c r="A15" s="40"/>
      <c r="B15" s="40"/>
      <c r="C15" s="40"/>
      <c r="D15" s="40"/>
      <c r="E15" s="40"/>
      <c r="F15" s="40"/>
      <c r="G15" s="40"/>
      <c r="H15" s="40"/>
      <c r="I15" s="40"/>
      <c r="J15" s="40"/>
      <c r="K15" s="40"/>
      <c r="L15" s="40"/>
      <c r="M15" s="40"/>
      <c r="N15" s="40"/>
      <c r="O15" s="52" t="s">
        <v>555</v>
      </c>
      <c r="P15" s="49" t="b">
        <v>1</v>
      </c>
      <c r="Q15" s="49" t="str">
        <f>IF(P15= TRUE, "Student-designed major|", "")</f>
        <v>Student-designed major|</v>
      </c>
      <c r="R15" s="40"/>
      <c r="S15" s="40"/>
      <c r="T15" s="40"/>
      <c r="U15" s="40"/>
      <c r="V15" s="40"/>
      <c r="W15" s="4" t="s">
        <v>1142</v>
      </c>
      <c r="X15" s="4" t="b">
        <v>1</v>
      </c>
      <c r="Y15" s="4" t="str">
        <f>IF(X15= TRUE, "Radio station|", "")</f>
        <v>Radio station|</v>
      </c>
      <c r="Z15" s="40"/>
      <c r="AA15" s="40"/>
      <c r="AB15" s="40"/>
      <c r="AC15" s="40"/>
      <c r="AD15" s="40"/>
      <c r="AE15" s="40"/>
      <c r="AF15" s="40"/>
      <c r="AG15" s="40"/>
      <c r="AH15" s="40"/>
      <c r="AI15" s="40"/>
      <c r="AJ15" s="40"/>
      <c r="AK15" s="40"/>
      <c r="AL15" s="40"/>
      <c r="AM15" s="40"/>
      <c r="AN15" s="40"/>
      <c r="AO15" s="40"/>
      <c r="AP15" s="40"/>
      <c r="AQ15" s="40"/>
      <c r="AR15" s="40"/>
      <c r="AS15" s="40"/>
      <c r="AT15" s="40"/>
      <c r="AU15" s="40"/>
    </row>
    <row r="16">
      <c r="A16" s="40"/>
      <c r="B16" s="40"/>
      <c r="C16" s="40"/>
      <c r="D16" s="40"/>
      <c r="E16" s="40"/>
      <c r="F16" s="40"/>
      <c r="G16" s="40"/>
      <c r="H16" s="40"/>
      <c r="I16" s="40"/>
      <c r="J16" s="40"/>
      <c r="K16" s="40"/>
      <c r="L16" s="40"/>
      <c r="M16" s="40"/>
      <c r="N16" s="40"/>
      <c r="O16" s="52" t="s">
        <v>557</v>
      </c>
      <c r="P16" s="49" t="b">
        <v>1</v>
      </c>
      <c r="Q16" s="49" t="str">
        <f>IF(P16= TRUE, "Study abroad|", "")</f>
        <v>Study abroad|</v>
      </c>
      <c r="R16" s="40"/>
      <c r="S16" s="40"/>
      <c r="T16" s="40"/>
      <c r="U16" s="40"/>
      <c r="V16" s="40"/>
      <c r="W16" s="4" t="s">
        <v>1143</v>
      </c>
      <c r="X16" s="4" t="b">
        <v>1</v>
      </c>
      <c r="Y16" s="4" t="str">
        <f>IF(X16= TRUE, "Student government|", "")</f>
        <v>Student government|</v>
      </c>
      <c r="Z16" s="40"/>
      <c r="AA16" s="40"/>
      <c r="AB16" s="40"/>
      <c r="AC16" s="40"/>
      <c r="AD16" s="40"/>
      <c r="AE16" s="40"/>
      <c r="AF16" s="40"/>
      <c r="AG16" s="40"/>
      <c r="AH16" s="40"/>
      <c r="AI16" s="40"/>
      <c r="AJ16" s="40"/>
      <c r="AK16" s="40"/>
      <c r="AL16" s="40"/>
      <c r="AM16" s="40"/>
      <c r="AN16" s="40"/>
      <c r="AO16" s="40"/>
      <c r="AP16" s="40"/>
      <c r="AQ16" s="40"/>
      <c r="AR16" s="40"/>
      <c r="AS16" s="40"/>
      <c r="AT16" s="40"/>
      <c r="AU16" s="40"/>
    </row>
    <row r="17">
      <c r="A17" s="40"/>
      <c r="B17" s="40"/>
      <c r="C17" s="40"/>
      <c r="D17" s="40"/>
      <c r="E17" s="40"/>
      <c r="F17" s="40"/>
      <c r="G17" s="40"/>
      <c r="H17" s="40"/>
      <c r="I17" s="40"/>
      <c r="J17" s="40"/>
      <c r="K17" s="40"/>
      <c r="L17" s="40"/>
      <c r="M17" s="40"/>
      <c r="N17" s="40"/>
      <c r="O17" s="52" t="s">
        <v>559</v>
      </c>
      <c r="P17" s="49" t="b">
        <v>0</v>
      </c>
      <c r="Q17" s="49" t="str">
        <f>IF(P17= TRUE, "Teacher certification program|", "")</f>
        <v/>
      </c>
      <c r="R17" s="40"/>
      <c r="S17" s="40"/>
      <c r="T17" s="40"/>
      <c r="U17" s="40"/>
      <c r="V17" s="40"/>
      <c r="W17" s="4" t="s">
        <v>1144</v>
      </c>
      <c r="X17" s="4" t="b">
        <v>1</v>
      </c>
      <c r="Y17" s="4" t="str">
        <f>IF(X17= TRUE, "Student newspaper|", "")</f>
        <v>Student newspaper|</v>
      </c>
      <c r="Z17" s="40"/>
      <c r="AA17" s="40"/>
      <c r="AB17" s="40"/>
      <c r="AC17" s="40"/>
      <c r="AD17" s="40"/>
      <c r="AE17" s="40"/>
      <c r="AF17" s="40"/>
      <c r="AG17" s="40"/>
      <c r="AH17" s="40"/>
      <c r="AI17" s="40"/>
      <c r="AJ17" s="40"/>
      <c r="AK17" s="40"/>
      <c r="AL17" s="40"/>
      <c r="AM17" s="40"/>
      <c r="AN17" s="40"/>
      <c r="AO17" s="40"/>
      <c r="AP17" s="40"/>
      <c r="AQ17" s="40"/>
      <c r="AR17" s="40"/>
      <c r="AS17" s="40"/>
      <c r="AT17" s="40"/>
      <c r="AU17" s="40"/>
    </row>
    <row r="18">
      <c r="A18" s="40"/>
      <c r="B18" s="40"/>
      <c r="C18" s="40"/>
      <c r="D18" s="40"/>
      <c r="E18" s="40"/>
      <c r="F18" s="40"/>
      <c r="G18" s="40"/>
      <c r="H18" s="40"/>
      <c r="I18" s="40"/>
      <c r="J18" s="40"/>
      <c r="K18" s="40"/>
      <c r="L18" s="40"/>
      <c r="M18" s="40"/>
      <c r="N18" s="40"/>
      <c r="O18" s="52" t="s">
        <v>1145</v>
      </c>
      <c r="P18" s="49" t="b">
        <v>1</v>
      </c>
      <c r="Q18" s="49" t="str">
        <f>IF(P18= TRUE, "Undergraduate research|", "")</f>
        <v>Undergraduate research|</v>
      </c>
      <c r="R18" s="40"/>
      <c r="S18" s="40"/>
      <c r="T18" s="40"/>
      <c r="U18" s="40"/>
      <c r="V18" s="40"/>
      <c r="W18" s="4" t="s">
        <v>1146</v>
      </c>
      <c r="X18" s="4" t="b">
        <v>1</v>
      </c>
      <c r="Y18" s="4" t="str">
        <f>IF(X18= TRUE, "Student-run film society|", "")</f>
        <v>Student-run film society|</v>
      </c>
      <c r="Z18" s="40"/>
      <c r="AA18" s="40"/>
      <c r="AB18" s="40"/>
      <c r="AC18" s="40"/>
      <c r="AD18" s="40"/>
      <c r="AE18" s="40"/>
      <c r="AF18" s="40"/>
      <c r="AG18" s="40"/>
      <c r="AH18" s="40"/>
      <c r="AI18" s="40"/>
      <c r="AJ18" s="40"/>
      <c r="AK18" s="40"/>
      <c r="AL18" s="40"/>
      <c r="AM18" s="40"/>
      <c r="AN18" s="40"/>
      <c r="AO18" s="40"/>
      <c r="AP18" s="40"/>
      <c r="AQ18" s="40"/>
      <c r="AR18" s="40"/>
      <c r="AS18" s="40"/>
      <c r="AT18" s="40"/>
      <c r="AU18" s="40"/>
    </row>
    <row r="19">
      <c r="A19" s="40"/>
      <c r="B19" s="40"/>
      <c r="C19" s="40"/>
      <c r="D19" s="40"/>
      <c r="E19" s="40"/>
      <c r="F19" s="40"/>
      <c r="G19" s="40"/>
      <c r="H19" s="40"/>
      <c r="I19" s="40"/>
      <c r="J19" s="40"/>
      <c r="K19" s="40"/>
      <c r="L19" s="40"/>
      <c r="M19" s="40"/>
      <c r="N19" s="40"/>
      <c r="O19" s="52" t="s">
        <v>563</v>
      </c>
      <c r="P19" s="49" t="b">
        <v>0</v>
      </c>
      <c r="Q19" s="49" t="str">
        <f>IF(P19= TRUE, "Weekend college|", "")</f>
        <v/>
      </c>
      <c r="R19" s="40"/>
      <c r="S19" s="40"/>
      <c r="T19" s="40"/>
      <c r="U19" s="40"/>
      <c r="V19" s="40"/>
      <c r="W19" s="4" t="s">
        <v>1147</v>
      </c>
      <c r="X19" s="4" t="b">
        <v>1</v>
      </c>
      <c r="Y19" s="4" t="str">
        <f>IF(X19= TRUE, "Symphony orchestra|", "")</f>
        <v>Symphony orchestra|</v>
      </c>
      <c r="Z19" s="40"/>
      <c r="AA19" s="40"/>
      <c r="AB19" s="40"/>
      <c r="AC19" s="40"/>
      <c r="AD19" s="40"/>
      <c r="AE19" s="40"/>
      <c r="AF19" s="40"/>
      <c r="AG19" s="40"/>
      <c r="AH19" s="40"/>
      <c r="AI19" s="40"/>
      <c r="AJ19" s="40"/>
      <c r="AK19" s="40"/>
      <c r="AL19" s="40"/>
      <c r="AM19" s="40"/>
      <c r="AN19" s="40"/>
      <c r="AO19" s="40"/>
      <c r="AP19" s="40"/>
      <c r="AQ19" s="40"/>
      <c r="AR19" s="40"/>
      <c r="AS19" s="40"/>
      <c r="AT19" s="40"/>
      <c r="AU19" s="40"/>
    </row>
    <row r="20">
      <c r="A20" s="40"/>
      <c r="B20" s="40"/>
      <c r="C20" s="40"/>
      <c r="D20" s="40"/>
      <c r="E20" s="40"/>
      <c r="F20" s="40"/>
      <c r="G20" s="40"/>
      <c r="H20" s="40"/>
      <c r="I20" s="40"/>
      <c r="J20" s="40"/>
      <c r="K20" s="40"/>
      <c r="L20" s="40"/>
      <c r="M20" s="40"/>
      <c r="N20" s="40"/>
      <c r="O20" s="52" t="s">
        <v>252</v>
      </c>
      <c r="P20" s="49" t="b">
        <v>0</v>
      </c>
      <c r="Q20" s="49" t="str">
        <f>IF(P20= TRUE, "Other|", "")</f>
        <v/>
      </c>
      <c r="R20" s="40"/>
      <c r="S20" s="40"/>
      <c r="T20" s="40"/>
      <c r="U20" s="40"/>
      <c r="V20" s="40"/>
      <c r="W20" s="4" t="s">
        <v>1148</v>
      </c>
      <c r="X20" s="4" t="b">
        <v>1</v>
      </c>
      <c r="Y20" s="4" t="str">
        <f>IF(X20= TRUE, "Television station|", "")</f>
        <v>Television station|</v>
      </c>
      <c r="Z20" s="40"/>
      <c r="AA20" s="40"/>
      <c r="AB20" s="40"/>
      <c r="AC20" s="40"/>
      <c r="AD20" s="40"/>
      <c r="AE20" s="40"/>
      <c r="AF20" s="40"/>
      <c r="AG20" s="40"/>
      <c r="AH20" s="40"/>
      <c r="AI20" s="40"/>
      <c r="AJ20" s="40"/>
      <c r="AK20" s="40"/>
      <c r="AL20" s="40"/>
      <c r="AM20" s="40"/>
      <c r="AN20" s="40"/>
      <c r="AO20" s="40"/>
      <c r="AP20" s="40"/>
      <c r="AQ20" s="40"/>
      <c r="AR20" s="40"/>
      <c r="AS20" s="40"/>
      <c r="AT20" s="40"/>
      <c r="AU20" s="40"/>
    </row>
    <row r="21">
      <c r="A21" s="40"/>
      <c r="B21" s="40"/>
      <c r="C21" s="40"/>
      <c r="D21" s="40"/>
      <c r="E21" s="40"/>
      <c r="F21" s="40"/>
      <c r="G21" s="40"/>
      <c r="H21" s="40"/>
      <c r="I21" s="40"/>
      <c r="J21" s="40"/>
      <c r="K21" s="40"/>
      <c r="L21" s="40"/>
      <c r="M21" s="40"/>
      <c r="N21" s="40"/>
      <c r="O21" s="40"/>
      <c r="P21" s="40"/>
      <c r="Q21" s="40"/>
      <c r="R21" s="40"/>
      <c r="S21" s="40"/>
      <c r="T21" s="40"/>
      <c r="U21" s="40"/>
      <c r="V21" s="40"/>
      <c r="W21" s="4" t="s">
        <v>1149</v>
      </c>
      <c r="X21" s="4" t="b">
        <v>1</v>
      </c>
      <c r="Y21" s="4" t="str">
        <f>IF(X21= TRUE, "Yearbook|", "")</f>
        <v>Yearbook|</v>
      </c>
      <c r="Z21" s="40"/>
      <c r="AA21" s="40"/>
      <c r="AB21" s="40"/>
      <c r="AC21" s="40"/>
      <c r="AD21" s="40"/>
      <c r="AE21" s="40"/>
      <c r="AF21" s="40"/>
      <c r="AG21" s="40"/>
      <c r="AH21" s="40"/>
      <c r="AI21" s="40"/>
      <c r="AJ21" s="40"/>
      <c r="AK21" s="40"/>
      <c r="AL21" s="40"/>
      <c r="AM21" s="40"/>
      <c r="AN21" s="40"/>
      <c r="AO21" s="40"/>
      <c r="AP21" s="40"/>
      <c r="AQ21" s="40"/>
      <c r="AR21" s="40"/>
      <c r="AS21" s="40"/>
      <c r="AT21" s="40"/>
      <c r="AU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row>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16.44"/>
    <col customWidth="1" min="3" max="3" width="20.44"/>
    <col customWidth="1" min="4" max="5" width="19.11"/>
    <col customWidth="1" min="6" max="6" width="17.0"/>
    <col customWidth="1" min="7" max="7" width="48.44"/>
    <col customWidth="1" min="8" max="8" width="27.56"/>
    <col customWidth="1" min="9" max="9" width="94.0"/>
    <col customWidth="1" min="10" max="10" width="13.56"/>
    <col customWidth="1" min="11" max="11" width="45.0"/>
    <col customWidth="1" min="12" max="12" width="10.89"/>
    <col customWidth="1" min="13" max="13" width="30.44"/>
    <col customWidth="1" min="14" max="14" width="65.0"/>
    <col customWidth="1" min="15" max="16" width="10.89"/>
    <col customWidth="1" min="17" max="17" width="23.89"/>
    <col customWidth="1" min="18" max="18" width="13.0"/>
    <col customWidth="1" min="19" max="19" width="18.89"/>
    <col customWidth="1" min="20" max="20" width="26.56"/>
    <col customWidth="1" min="21" max="26" width="10.89"/>
  </cols>
  <sheetData>
    <row r="1">
      <c r="A1" s="40" t="s">
        <v>33</v>
      </c>
      <c r="B1" s="40" t="s">
        <v>1150</v>
      </c>
      <c r="C1" s="40" t="s">
        <v>27</v>
      </c>
      <c r="D1" s="40" t="s">
        <v>67</v>
      </c>
      <c r="E1" s="40" t="s">
        <v>69</v>
      </c>
      <c r="F1" s="40" t="s">
        <v>71</v>
      </c>
      <c r="G1" s="40" t="s">
        <v>229</v>
      </c>
      <c r="H1" s="40" t="s">
        <v>232</v>
      </c>
      <c r="I1" s="40" t="s">
        <v>1151</v>
      </c>
      <c r="J1" s="40" t="s">
        <v>259</v>
      </c>
      <c r="K1" s="40" t="s">
        <v>1152</v>
      </c>
      <c r="L1" s="40" t="s">
        <v>399</v>
      </c>
      <c r="M1" s="40" t="s">
        <v>1153</v>
      </c>
      <c r="N1" s="40" t="s">
        <v>1154</v>
      </c>
      <c r="O1" s="40" t="s">
        <v>1155</v>
      </c>
      <c r="P1" s="40" t="s">
        <v>1156</v>
      </c>
      <c r="Q1" s="325" t="s">
        <v>484</v>
      </c>
      <c r="R1" s="40" t="s">
        <v>641</v>
      </c>
      <c r="S1" s="40" t="s">
        <v>708</v>
      </c>
      <c r="T1" s="40" t="s">
        <v>1157</v>
      </c>
      <c r="U1" s="40"/>
      <c r="V1" s="40"/>
      <c r="W1" s="40"/>
      <c r="X1" s="40"/>
      <c r="Y1" s="40"/>
      <c r="Z1" s="40"/>
    </row>
    <row r="2">
      <c r="A2" s="40" t="s">
        <v>224</v>
      </c>
      <c r="B2" s="40" t="s">
        <v>1158</v>
      </c>
      <c r="C2" s="40" t="s">
        <v>1159</v>
      </c>
      <c r="D2" s="40" t="s">
        <v>1160</v>
      </c>
      <c r="E2" s="40" t="s">
        <v>1161</v>
      </c>
      <c r="F2" s="325" t="s">
        <v>1162</v>
      </c>
      <c r="G2" s="40" t="s">
        <v>1163</v>
      </c>
      <c r="H2" s="40" t="s">
        <v>1164</v>
      </c>
      <c r="I2" s="40" t="s">
        <v>1165</v>
      </c>
      <c r="J2" s="40" t="s">
        <v>272</v>
      </c>
      <c r="K2" s="40" t="s">
        <v>1166</v>
      </c>
      <c r="L2" s="40" t="s">
        <v>1167</v>
      </c>
      <c r="M2" s="40" t="s">
        <v>1168</v>
      </c>
      <c r="N2" s="40" t="s">
        <v>1169</v>
      </c>
      <c r="O2" s="40" t="s">
        <v>426</v>
      </c>
      <c r="P2" s="40" t="s">
        <v>476</v>
      </c>
      <c r="Q2" s="325" t="s">
        <v>1170</v>
      </c>
      <c r="R2" s="40" t="s">
        <v>1171</v>
      </c>
      <c r="S2" s="40" t="s">
        <v>1172</v>
      </c>
      <c r="T2" s="40" t="s">
        <v>1173</v>
      </c>
      <c r="U2" s="40"/>
      <c r="V2" s="40"/>
      <c r="W2" s="40"/>
      <c r="X2" s="40"/>
      <c r="Y2" s="40"/>
      <c r="Z2" s="40"/>
    </row>
    <row r="3">
      <c r="A3" s="40"/>
      <c r="B3" s="40" t="s">
        <v>1174</v>
      </c>
      <c r="C3" s="40" t="s">
        <v>1175</v>
      </c>
      <c r="D3" s="40" t="s">
        <v>1176</v>
      </c>
      <c r="E3" s="40" t="s">
        <v>1177</v>
      </c>
      <c r="F3" s="325" t="s">
        <v>1178</v>
      </c>
      <c r="G3" s="40" t="s">
        <v>1179</v>
      </c>
      <c r="H3" s="40" t="s">
        <v>1180</v>
      </c>
      <c r="I3" s="40" t="s">
        <v>1181</v>
      </c>
      <c r="J3" s="40" t="s">
        <v>264</v>
      </c>
      <c r="K3" s="40" t="s">
        <v>1182</v>
      </c>
      <c r="L3" s="40" t="s">
        <v>1183</v>
      </c>
      <c r="M3" s="40" t="s">
        <v>252</v>
      </c>
      <c r="N3" s="40" t="s">
        <v>415</v>
      </c>
      <c r="O3" s="40" t="s">
        <v>224</v>
      </c>
      <c r="P3" s="40"/>
      <c r="Q3" s="325" t="s">
        <v>482</v>
      </c>
      <c r="R3" s="40" t="s">
        <v>1184</v>
      </c>
      <c r="S3" s="40"/>
      <c r="T3" s="40" t="s">
        <v>710</v>
      </c>
      <c r="U3" s="40"/>
      <c r="V3" s="40"/>
      <c r="W3" s="40"/>
      <c r="X3" s="40"/>
      <c r="Y3" s="40"/>
      <c r="Z3" s="40"/>
    </row>
    <row r="4">
      <c r="A4" s="40"/>
      <c r="B4" s="40" t="s">
        <v>1185</v>
      </c>
      <c r="C4" s="40" t="s">
        <v>1186</v>
      </c>
      <c r="D4" s="40"/>
      <c r="E4" s="40"/>
      <c r="F4" s="325" t="s">
        <v>1187</v>
      </c>
      <c r="G4" s="40"/>
      <c r="H4" s="40"/>
      <c r="I4" s="40" t="s">
        <v>252</v>
      </c>
      <c r="J4" s="40" t="s">
        <v>261</v>
      </c>
      <c r="K4" s="40" t="s">
        <v>1188</v>
      </c>
      <c r="L4" s="40"/>
      <c r="M4" s="40"/>
      <c r="N4" s="40"/>
      <c r="O4" s="40"/>
      <c r="P4" s="40"/>
      <c r="Q4" s="325" t="s">
        <v>1189</v>
      </c>
      <c r="R4" s="40"/>
      <c r="S4" s="40"/>
      <c r="T4" s="40"/>
      <c r="U4" s="40"/>
      <c r="V4" s="40"/>
      <c r="W4" s="40"/>
      <c r="X4" s="40"/>
      <c r="Y4" s="40"/>
      <c r="Z4" s="40"/>
    </row>
    <row r="5">
      <c r="A5" s="40"/>
      <c r="B5" s="40" t="s">
        <v>23</v>
      </c>
      <c r="C5" s="40" t="s">
        <v>1190</v>
      </c>
      <c r="D5" s="40"/>
      <c r="E5" s="40"/>
      <c r="F5" s="325" t="s">
        <v>1191</v>
      </c>
      <c r="G5" s="40"/>
      <c r="H5" s="40"/>
      <c r="I5" s="40"/>
      <c r="J5" s="40"/>
      <c r="K5" s="40" t="s">
        <v>289</v>
      </c>
      <c r="L5" s="40"/>
      <c r="M5" s="40"/>
      <c r="N5" s="40"/>
      <c r="O5" s="40"/>
      <c r="P5" s="40"/>
      <c r="Q5" s="325" t="s">
        <v>486</v>
      </c>
      <c r="R5" s="40"/>
      <c r="S5" s="40"/>
      <c r="T5" s="40"/>
      <c r="U5" s="40"/>
      <c r="V5" s="40"/>
      <c r="W5" s="40"/>
      <c r="X5" s="40"/>
      <c r="Y5" s="40"/>
      <c r="Z5" s="40"/>
    </row>
    <row r="6">
      <c r="A6" s="40"/>
      <c r="B6" s="40" t="s">
        <v>1192</v>
      </c>
      <c r="C6" s="40" t="s">
        <v>1193</v>
      </c>
      <c r="D6" s="40"/>
      <c r="E6" s="40"/>
      <c r="F6" s="325" t="s">
        <v>1194</v>
      </c>
      <c r="G6" s="40"/>
      <c r="H6" s="40"/>
      <c r="I6" s="40"/>
      <c r="J6" s="40"/>
      <c r="K6" s="40"/>
      <c r="L6" s="40"/>
      <c r="M6" s="40"/>
      <c r="N6" s="40"/>
      <c r="O6" s="40"/>
      <c r="P6" s="40"/>
      <c r="Q6" s="40"/>
      <c r="R6" s="40"/>
      <c r="S6" s="40"/>
      <c r="T6" s="40"/>
      <c r="U6" s="40"/>
      <c r="V6" s="40"/>
      <c r="W6" s="40"/>
      <c r="X6" s="40"/>
      <c r="Y6" s="40"/>
      <c r="Z6" s="40"/>
    </row>
    <row r="7">
      <c r="A7" s="40"/>
      <c r="B7" s="40" t="s">
        <v>1195</v>
      </c>
      <c r="C7" s="40" t="s">
        <v>1196</v>
      </c>
      <c r="D7" s="40"/>
      <c r="E7" s="40"/>
      <c r="F7" s="325" t="s">
        <v>252</v>
      </c>
      <c r="G7" s="40"/>
      <c r="H7" s="40"/>
      <c r="I7" s="40"/>
      <c r="J7" s="40"/>
      <c r="K7" s="40"/>
      <c r="L7" s="40"/>
      <c r="M7" s="40"/>
      <c r="N7" s="40"/>
      <c r="O7" s="40"/>
      <c r="P7" s="40"/>
      <c r="Q7" s="40"/>
      <c r="R7" s="40"/>
      <c r="S7" s="40"/>
      <c r="T7" s="40"/>
      <c r="U7" s="40"/>
      <c r="V7" s="40"/>
      <c r="W7" s="40"/>
      <c r="X7" s="40"/>
      <c r="Y7" s="40"/>
      <c r="Z7" s="40"/>
    </row>
    <row r="8">
      <c r="A8" s="40"/>
      <c r="B8" s="40" t="s">
        <v>1197</v>
      </c>
      <c r="C8" s="40" t="s">
        <v>1198</v>
      </c>
      <c r="D8" s="40"/>
      <c r="E8" s="40"/>
      <c r="F8" s="40"/>
      <c r="G8" s="40"/>
      <c r="H8" s="40"/>
      <c r="I8" s="40"/>
      <c r="J8" s="40"/>
      <c r="K8" s="40"/>
      <c r="L8" s="40"/>
      <c r="M8" s="40"/>
      <c r="N8" s="40"/>
      <c r="O8" s="40"/>
      <c r="P8" s="40"/>
      <c r="Q8" s="40"/>
      <c r="R8" s="40"/>
      <c r="S8" s="40"/>
      <c r="T8" s="40"/>
      <c r="U8" s="40"/>
      <c r="V8" s="40"/>
      <c r="W8" s="40"/>
      <c r="X8" s="40"/>
      <c r="Y8" s="40"/>
      <c r="Z8" s="40"/>
    </row>
    <row r="9">
      <c r="A9" s="40"/>
      <c r="B9" s="40" t="s">
        <v>1199</v>
      </c>
      <c r="C9" s="40" t="s">
        <v>1200</v>
      </c>
      <c r="D9" s="40"/>
      <c r="E9" s="40"/>
      <c r="F9" s="40"/>
      <c r="G9" s="40"/>
      <c r="H9" s="40"/>
      <c r="I9" s="40"/>
      <c r="J9" s="40"/>
      <c r="K9" s="40"/>
      <c r="L9" s="40"/>
      <c r="M9" s="40"/>
      <c r="N9" s="40"/>
      <c r="O9" s="40"/>
      <c r="P9" s="40"/>
      <c r="Q9" s="40"/>
      <c r="R9" s="40"/>
      <c r="S9" s="40"/>
      <c r="T9" s="40"/>
      <c r="U9" s="40"/>
      <c r="V9" s="40"/>
      <c r="W9" s="40"/>
      <c r="X9" s="40"/>
      <c r="Y9" s="40"/>
      <c r="Z9" s="40"/>
    </row>
    <row r="10">
      <c r="A10" s="40"/>
      <c r="B10" s="40" t="s">
        <v>1201</v>
      </c>
      <c r="C10" s="40" t="s">
        <v>1202</v>
      </c>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t="s">
        <v>1203</v>
      </c>
      <c r="C11" s="40" t="s">
        <v>1204</v>
      </c>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t="s">
        <v>1205</v>
      </c>
      <c r="C12" s="40" t="s">
        <v>1206</v>
      </c>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t="s">
        <v>1207</v>
      </c>
      <c r="C13" s="40" t="s">
        <v>1208</v>
      </c>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t="s">
        <v>1209</v>
      </c>
      <c r="C14" s="40" t="s">
        <v>1210</v>
      </c>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t="s">
        <v>1211</v>
      </c>
      <c r="C15" s="40" t="s">
        <v>1212</v>
      </c>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t="s">
        <v>1213</v>
      </c>
      <c r="C16" s="40" t="s">
        <v>1214</v>
      </c>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t="s">
        <v>1215</v>
      </c>
      <c r="C17" s="40" t="s">
        <v>1216</v>
      </c>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t="s">
        <v>1217</v>
      </c>
      <c r="C18" s="40" t="s">
        <v>1218</v>
      </c>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t="s">
        <v>1219</v>
      </c>
      <c r="C19" s="40" t="s">
        <v>1220</v>
      </c>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t="s">
        <v>1221</v>
      </c>
      <c r="C20" s="40" t="s">
        <v>1222</v>
      </c>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t="s">
        <v>1223</v>
      </c>
      <c r="C21" s="40" t="s">
        <v>1224</v>
      </c>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t="s">
        <v>1225</v>
      </c>
      <c r="C22" s="40" t="s">
        <v>1226</v>
      </c>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t="s">
        <v>1227</v>
      </c>
      <c r="C23" s="40" t="s">
        <v>1228</v>
      </c>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t="s">
        <v>1229</v>
      </c>
      <c r="C24" s="40" t="s">
        <v>1230</v>
      </c>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t="s">
        <v>1231</v>
      </c>
      <c r="C25" s="40" t="s">
        <v>1232</v>
      </c>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t="s">
        <v>1233</v>
      </c>
      <c r="C26" s="40" t="s">
        <v>1234</v>
      </c>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t="s">
        <v>1235</v>
      </c>
      <c r="C27" s="40" t="s">
        <v>1236</v>
      </c>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t="s">
        <v>1237</v>
      </c>
      <c r="C28" s="40" t="s">
        <v>1238</v>
      </c>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t="s">
        <v>1239</v>
      </c>
      <c r="C29" s="40" t="s">
        <v>1240</v>
      </c>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t="s">
        <v>1241</v>
      </c>
      <c r="C30" s="40" t="s">
        <v>1242</v>
      </c>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t="s">
        <v>1243</v>
      </c>
      <c r="C31" s="40" t="s">
        <v>1244</v>
      </c>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t="s">
        <v>1245</v>
      </c>
      <c r="C32" s="40" t="s">
        <v>1246</v>
      </c>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t="s">
        <v>1247</v>
      </c>
      <c r="C33" s="40" t="s">
        <v>1248</v>
      </c>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t="s">
        <v>1249</v>
      </c>
      <c r="C34" s="40" t="s">
        <v>1250</v>
      </c>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t="s">
        <v>1251</v>
      </c>
      <c r="C35" s="40" t="s">
        <v>1252</v>
      </c>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t="s">
        <v>1253</v>
      </c>
      <c r="C36" s="40" t="s">
        <v>1254</v>
      </c>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t="s">
        <v>1255</v>
      </c>
      <c r="C37" s="40" t="s">
        <v>1256</v>
      </c>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t="s">
        <v>1257</v>
      </c>
      <c r="C38" s="40" t="s">
        <v>1258</v>
      </c>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t="s">
        <v>1259</v>
      </c>
      <c r="C39" s="40" t="s">
        <v>1260</v>
      </c>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t="s">
        <v>1261</v>
      </c>
      <c r="C40" s="40" t="s">
        <v>1262</v>
      </c>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t="s">
        <v>1263</v>
      </c>
      <c r="C41" s="40" t="s">
        <v>1264</v>
      </c>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t="s">
        <v>1265</v>
      </c>
      <c r="C42" s="40" t="s">
        <v>1266</v>
      </c>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t="s">
        <v>1267</v>
      </c>
      <c r="C43" s="40" t="s">
        <v>1268</v>
      </c>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t="s">
        <v>1269</v>
      </c>
      <c r="C44" s="40" t="s">
        <v>1270</v>
      </c>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t="s">
        <v>1271</v>
      </c>
      <c r="C45" s="40" t="s">
        <v>1272</v>
      </c>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t="s">
        <v>1273</v>
      </c>
      <c r="C46" s="40" t="s">
        <v>1274</v>
      </c>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t="s">
        <v>1275</v>
      </c>
      <c r="C47" s="40" t="s">
        <v>1276</v>
      </c>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t="s">
        <v>1277</v>
      </c>
      <c r="C48" s="40" t="s">
        <v>1278</v>
      </c>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t="s">
        <v>1279</v>
      </c>
      <c r="C49" s="40" t="s">
        <v>1280</v>
      </c>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t="s">
        <v>1281</v>
      </c>
      <c r="C50" s="40" t="s">
        <v>1282</v>
      </c>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t="s">
        <v>1283</v>
      </c>
      <c r="C51" s="40" t="s">
        <v>1284</v>
      </c>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t="s">
        <v>1285</v>
      </c>
      <c r="C52" s="40" t="s">
        <v>1286</v>
      </c>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t="s">
        <v>1193</v>
      </c>
      <c r="C53" s="40" t="s">
        <v>1287</v>
      </c>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t="s">
        <v>1288</v>
      </c>
      <c r="C54" s="40" t="s">
        <v>1289</v>
      </c>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t="s">
        <v>1290</v>
      </c>
      <c r="C55" s="40" t="s">
        <v>1291</v>
      </c>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t="s">
        <v>1292</v>
      </c>
      <c r="C56" s="40" t="s">
        <v>1293</v>
      </c>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t="s">
        <v>1294</v>
      </c>
      <c r="C57" s="40" t="s">
        <v>1295</v>
      </c>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t="s">
        <v>1296</v>
      </c>
      <c r="C58" s="40" t="s">
        <v>1297</v>
      </c>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t="s">
        <v>1298</v>
      </c>
      <c r="C59" s="40" t="s">
        <v>1299</v>
      </c>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t="s">
        <v>1300</v>
      </c>
      <c r="C60" s="40" t="s">
        <v>1301</v>
      </c>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t="s">
        <v>1302</v>
      </c>
      <c r="C61" s="40" t="s">
        <v>1303</v>
      </c>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t="s">
        <v>1304</v>
      </c>
      <c r="C62" s="40" t="s">
        <v>1305</v>
      </c>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t="s">
        <v>1306</v>
      </c>
      <c r="C63" s="40" t="s">
        <v>1307</v>
      </c>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t="s">
        <v>1308</v>
      </c>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t="s">
        <v>1309</v>
      </c>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t="s">
        <v>1310</v>
      </c>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t="s">
        <v>1311</v>
      </c>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t="s">
        <v>1312</v>
      </c>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t="s">
        <v>1313</v>
      </c>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t="s">
        <v>1314</v>
      </c>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t="s">
        <v>1315</v>
      </c>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t="s">
        <v>1316</v>
      </c>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t="s">
        <v>1317</v>
      </c>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t="s">
        <v>1318</v>
      </c>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t="s">
        <v>1319</v>
      </c>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t="s">
        <v>1320</v>
      </c>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t="s">
        <v>1321</v>
      </c>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t="s">
        <v>1322</v>
      </c>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t="s">
        <v>1323</v>
      </c>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t="s">
        <v>1324</v>
      </c>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t="s">
        <v>1325</v>
      </c>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t="s">
        <v>1326</v>
      </c>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t="s">
        <v>1203</v>
      </c>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t="s">
        <v>1327</v>
      </c>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t="s">
        <v>1328</v>
      </c>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t="s">
        <v>1329</v>
      </c>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t="s">
        <v>1330</v>
      </c>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t="s">
        <v>1331</v>
      </c>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t="s">
        <v>1332</v>
      </c>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t="s">
        <v>1333</v>
      </c>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t="s">
        <v>1290</v>
      </c>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t="s">
        <v>1334</v>
      </c>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t="s">
        <v>1335</v>
      </c>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t="s">
        <v>1336</v>
      </c>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t="s">
        <v>1337</v>
      </c>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t="s">
        <v>1338</v>
      </c>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t="s">
        <v>1339</v>
      </c>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t="s">
        <v>1340</v>
      </c>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t="s">
        <v>1341</v>
      </c>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t="s">
        <v>1342</v>
      </c>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t="s">
        <v>1343</v>
      </c>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t="s">
        <v>1344</v>
      </c>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t="s">
        <v>1345</v>
      </c>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t="s">
        <v>1346</v>
      </c>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t="s">
        <v>1347</v>
      </c>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t="s">
        <v>1348</v>
      </c>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t="s">
        <v>1349</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t="s">
        <v>1350</v>
      </c>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t="s">
        <v>1351</v>
      </c>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t="s">
        <v>1352</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t="s">
        <v>1353</v>
      </c>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t="s">
        <v>1354</v>
      </c>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t="s">
        <v>1355</v>
      </c>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t="s">
        <v>1356</v>
      </c>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t="s">
        <v>1357</v>
      </c>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t="s">
        <v>1358</v>
      </c>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t="s">
        <v>1359</v>
      </c>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t="s">
        <v>1360</v>
      </c>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t="s">
        <v>1361</v>
      </c>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t="s">
        <v>1362</v>
      </c>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t="s">
        <v>1363</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t="s">
        <v>1364</v>
      </c>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t="s">
        <v>1365</v>
      </c>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t="s">
        <v>1366</v>
      </c>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t="s">
        <v>1367</v>
      </c>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t="s">
        <v>1368</v>
      </c>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t="s">
        <v>1369</v>
      </c>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t="s">
        <v>1370</v>
      </c>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t="s">
        <v>1371</v>
      </c>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t="s">
        <v>1372</v>
      </c>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t="s">
        <v>1373</v>
      </c>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t="s">
        <v>1374</v>
      </c>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t="s">
        <v>1375</v>
      </c>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t="s">
        <v>1376</v>
      </c>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t="s">
        <v>1377</v>
      </c>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t="s">
        <v>1378</v>
      </c>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t="s">
        <v>1379</v>
      </c>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t="s">
        <v>1380</v>
      </c>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t="s">
        <v>1381</v>
      </c>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t="s">
        <v>1382</v>
      </c>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t="s">
        <v>1292</v>
      </c>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t="s">
        <v>1383</v>
      </c>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t="s">
        <v>1384</v>
      </c>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t="s">
        <v>1385</v>
      </c>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t="s">
        <v>1386</v>
      </c>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t="s">
        <v>1387</v>
      </c>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t="s">
        <v>1388</v>
      </c>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t="s">
        <v>1389</v>
      </c>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t="s">
        <v>1390</v>
      </c>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t="s">
        <v>1391</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t="s">
        <v>1392</v>
      </c>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t="s">
        <v>1393</v>
      </c>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t="s">
        <v>1394</v>
      </c>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t="s">
        <v>1395</v>
      </c>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t="s">
        <v>1396</v>
      </c>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t="s">
        <v>1397</v>
      </c>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t="s">
        <v>1398</v>
      </c>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t="s">
        <v>1399</v>
      </c>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t="s">
        <v>1400</v>
      </c>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t="s">
        <v>1401</v>
      </c>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t="s">
        <v>1402</v>
      </c>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t="s">
        <v>1403</v>
      </c>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t="s">
        <v>1404</v>
      </c>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t="s">
        <v>1405</v>
      </c>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t="s">
        <v>1406</v>
      </c>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t="s">
        <v>1407</v>
      </c>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t="s">
        <v>1408</v>
      </c>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t="s">
        <v>1294</v>
      </c>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t="s">
        <v>1409</v>
      </c>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t="s">
        <v>1410</v>
      </c>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t="s">
        <v>1411</v>
      </c>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t="s">
        <v>1296</v>
      </c>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t="s">
        <v>1412</v>
      </c>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t="s">
        <v>1413</v>
      </c>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t="s">
        <v>1414</v>
      </c>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t="s">
        <v>1415</v>
      </c>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t="s">
        <v>1416</v>
      </c>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t="s">
        <v>1417</v>
      </c>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t="s">
        <v>1418</v>
      </c>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t="s">
        <v>1419</v>
      </c>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t="s">
        <v>1420</v>
      </c>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t="s">
        <v>1277</v>
      </c>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t="s">
        <v>1421</v>
      </c>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t="s">
        <v>1422</v>
      </c>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t="s">
        <v>1423</v>
      </c>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t="s">
        <v>1424</v>
      </c>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t="s">
        <v>1425</v>
      </c>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t="s">
        <v>1426</v>
      </c>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t="s">
        <v>1427</v>
      </c>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t="s">
        <v>1428</v>
      </c>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t="s">
        <v>1429</v>
      </c>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t="s">
        <v>1430</v>
      </c>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t="s">
        <v>1431</v>
      </c>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t="s">
        <v>1432</v>
      </c>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t="s">
        <v>1433</v>
      </c>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t="s">
        <v>1434</v>
      </c>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t="s">
        <v>1435</v>
      </c>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t="s">
        <v>1436</v>
      </c>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t="s">
        <v>1437</v>
      </c>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t="s">
        <v>1438</v>
      </c>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t="s">
        <v>1439</v>
      </c>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t="s">
        <v>1439</v>
      </c>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t="s">
        <v>1440</v>
      </c>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t="s">
        <v>1441</v>
      </c>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t="s">
        <v>1442</v>
      </c>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t="s">
        <v>1443</v>
      </c>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t="s">
        <v>1444</v>
      </c>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t="s">
        <v>1445</v>
      </c>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t="s">
        <v>1446</v>
      </c>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t="s">
        <v>1447</v>
      </c>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t="s">
        <v>1448</v>
      </c>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t="s">
        <v>1449</v>
      </c>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t="s">
        <v>1450</v>
      </c>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t="s">
        <v>1451</v>
      </c>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t="s">
        <v>1452</v>
      </c>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t="s">
        <v>1453</v>
      </c>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t="s">
        <v>1454</v>
      </c>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t="s">
        <v>1455</v>
      </c>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t="s">
        <v>1456</v>
      </c>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t="s">
        <v>1457</v>
      </c>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t="s">
        <v>1458</v>
      </c>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t="s">
        <v>1459</v>
      </c>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t="s">
        <v>1460</v>
      </c>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t="s">
        <v>1461</v>
      </c>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t="s">
        <v>1462</v>
      </c>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t="s">
        <v>1463</v>
      </c>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t="s">
        <v>1464</v>
      </c>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t="s">
        <v>1465</v>
      </c>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t="s">
        <v>1466</v>
      </c>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t="s">
        <v>1467</v>
      </c>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t="s">
        <v>1468</v>
      </c>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t="s">
        <v>1469</v>
      </c>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t="s">
        <v>1470</v>
      </c>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t="s">
        <v>1471</v>
      </c>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t="s">
        <v>1472</v>
      </c>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t="s">
        <v>1473</v>
      </c>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t="s">
        <v>1474</v>
      </c>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t="s">
        <v>1475</v>
      </c>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t="s">
        <v>1476</v>
      </c>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t="s">
        <v>1477</v>
      </c>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t="s">
        <v>1478</v>
      </c>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t="s">
        <v>1479</v>
      </c>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t="s">
        <v>1480</v>
      </c>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t="s">
        <v>1481</v>
      </c>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t="s">
        <v>1482</v>
      </c>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t="s">
        <v>1483</v>
      </c>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t="s">
        <v>1484</v>
      </c>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t="s">
        <v>1485</v>
      </c>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t="s">
        <v>1486</v>
      </c>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t="s">
        <v>1487</v>
      </c>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t="s">
        <v>1488</v>
      </c>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t="s">
        <v>1489</v>
      </c>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t="s">
        <v>1490</v>
      </c>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75" footer="0.0" header="0.0" left="0.7" right="0.7" top="0.75"/>
  <pageSetup orientation="portrait"/>
  <drawing r:id="rId1"/>
</worksheet>
</file>